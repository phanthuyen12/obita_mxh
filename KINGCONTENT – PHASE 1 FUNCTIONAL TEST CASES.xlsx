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100" windowHeight="13200" tabRatio="600" firstSheet="2" activeTab="3" autoFilterDateGrouping="1"/>
  </bookViews>
  <sheets>
    <sheet xmlns:r="http://schemas.openxmlformats.org/officeDocument/2006/relationships" name="Overview" sheetId="1" state="visible" r:id="rId1"/>
    <sheet xmlns:r="http://schemas.openxmlformats.org/officeDocument/2006/relationships" name="History Of Change" sheetId="2" state="visible" r:id="rId2"/>
    <sheet xmlns:r="http://schemas.openxmlformats.org/officeDocument/2006/relationships" name="Summary" sheetId="3" state="visible" r:id="rId3"/>
    <sheet xmlns:r="http://schemas.openxmlformats.org/officeDocument/2006/relationships" name="Tai khoan &amp; Workspace Test" sheetId="4" state="visible" r:id="rId4"/>
    <sheet xmlns:r="http://schemas.openxmlformats.org/officeDocument/2006/relationships" name="TC-Auth-Workspace" sheetId="5" state="visible" r:id="rId5"/>
    <sheet xmlns:r="http://schemas.openxmlformats.org/officeDocument/2006/relationships" name="TC-Social-Accounts" sheetId="6" state="visible" r:id="rId6"/>
    <sheet xmlns:r="http://schemas.openxmlformats.org/officeDocument/2006/relationships" name="TC-Post-Composer" sheetId="7" state="visible" r:id="rId7"/>
    <sheet xmlns:r="http://schemas.openxmlformats.org/officeDocument/2006/relationships" name="TC-Content-Workflows" sheetId="8" state="visible" r:id="rId8"/>
    <sheet xmlns:r="http://schemas.openxmlformats.org/officeDocument/2006/relationships" name="TC-AI-Studio-Clone" sheetId="9" state="visible" r:id="rId9"/>
    <sheet xmlns:r="http://schemas.openxmlformats.org/officeDocument/2006/relationships" name="TC-Content-Calendar" sheetId="10" state="visible" r:id="rId10"/>
    <sheet xmlns:r="http://schemas.openxmlformats.org/officeDocument/2006/relationships" name="TC-Media-Library" sheetId="11" state="visible" r:id="rId11"/>
    <sheet xmlns:r="http://schemas.openxmlformats.org/officeDocument/2006/relationships" name="TC-Omnichat-CRM" sheetId="12" state="visible" r:id="rId12"/>
    <sheet xmlns:r="http://schemas.openxmlformats.org/officeDocument/2006/relationships" name="TC-Analytics-Reports" sheetId="13" state="visible" r:id="rId13"/>
    <sheet xmlns:r="http://schemas.openxmlformats.org/officeDocument/2006/relationships" name="TC-P2-Post-Composer" sheetId="14" state="visible" r:id="rId14"/>
    <sheet xmlns:r="http://schemas.openxmlformats.org/officeDocument/2006/relationships" name="TC-P2-Social-Accounts" sheetId="15" state="visible" r:id="rId15"/>
    <sheet xmlns:r="http://schemas.openxmlformats.org/officeDocument/2006/relationships" name="TC-P2-Workflow-Auth" sheetId="16" state="visible" r:id="rId16"/>
    <sheet xmlns:r="http://schemas.openxmlformats.org/officeDocument/2006/relationships" name="TC-P2-AI-Studio" sheetId="17" state="visible" r:id="rId17"/>
    <sheet xmlns:r="http://schemas.openxmlformats.org/officeDocument/2006/relationships" name="TC-P2-Calendar-Media" sheetId="18" state="visible" r:id="rId18"/>
    <sheet xmlns:r="http://schemas.openxmlformats.org/officeDocument/2006/relationships" name="TC-P2-Omnichat-Analytics" sheetId="19" state="visible" r:id="rId19"/>
  </sheets>
  <definedNames/>
  <calcPr calcId="191029" fullCalcOnLoad="1"/>
</workbook>
</file>

<file path=xl/styles.xml><?xml version="1.0" encoding="utf-8"?>
<styleSheet xmlns="http://schemas.openxmlformats.org/spreadsheetml/2006/main">
  <numFmts count="4">
    <numFmt numFmtId="164" formatCode="yyyy/m/d"/>
    <numFmt numFmtId="165" formatCode="yyyy\-mm\-dd"/>
    <numFmt numFmtId="166" formatCode="_ * #,##0.00_ ;_ * \-#,##0.00_ ;_ * &quot;-&quot;??_ ;_ @_ "/>
    <numFmt numFmtId="167" formatCode="_ * #,##0_ ;_ * \-#,##0_ ;_ * &quot;-&quot;_ ;_ @_ "/>
  </numFmts>
  <fonts count="47">
    <font>
      <name val="Arial"/>
      <charset val="134"/>
      <color rgb="FF000000"/>
      <sz val="10"/>
      <scheme val="minor"/>
    </font>
    <font>
      <name val="Arial"/>
      <charset val="134"/>
      <color theme="1"/>
      <sz val="12"/>
    </font>
    <font>
      <name val="Arial"/>
      <charset val="134"/>
      <color rgb="FF000000"/>
      <sz val="12"/>
    </font>
    <font>
      <name val="Arial"/>
      <charset val="134"/>
      <b val="1"/>
      <color theme="1"/>
      <sz val="12"/>
    </font>
    <font>
      <name val="Arial"/>
      <charset val="134"/>
      <color rgb="FFFF0000"/>
      <sz val="10"/>
      <scheme val="minor"/>
    </font>
    <font>
      <name val="Arial"/>
      <charset val="134"/>
      <color rgb="FFFF0000"/>
      <sz val="12"/>
    </font>
    <font>
      <name val="Arial Regular"/>
      <charset val="134"/>
      <color rgb="FF000000"/>
      <sz val="10"/>
    </font>
    <font>
      <name val="Arial"/>
      <charset val="134"/>
      <b val="1"/>
      <color rgb="FF1E293B"/>
      <sz val="12"/>
    </font>
    <font>
      <name val="Arial"/>
      <charset val="134"/>
      <i val="1"/>
      <color rgb="FF64748B"/>
      <sz val="12"/>
    </font>
    <font>
      <name val="Arial"/>
      <charset val="134"/>
      <b val="1"/>
      <color rgb="FFFFFFFF"/>
      <sz val="12"/>
    </font>
    <font>
      <name val="Arial"/>
      <charset val="134"/>
      <color rgb="FF0F172A"/>
      <sz val="12"/>
    </font>
    <font>
      <name val="Arial"/>
      <charset val="134"/>
      <b val="1"/>
      <color rgb="FF0369A1"/>
      <sz val="12"/>
    </font>
    <font>
      <name val="Arial"/>
      <charset val="134"/>
      <b val="1"/>
      <color rgb="FF334155"/>
      <sz val="12"/>
    </font>
    <font>
      <name val="Arial"/>
      <charset val="134"/>
      <b val="1"/>
      <i val="1"/>
      <color theme="1"/>
      <sz val="12"/>
    </font>
    <font>
      <name val="Arial"/>
      <charset val="134"/>
      <b val="1"/>
      <color rgb="FF000000"/>
      <sz val="12"/>
    </font>
    <font>
      <name val="Arial"/>
      <charset val="134"/>
      <color rgb="FFE0E7FF"/>
      <sz val="12"/>
    </font>
    <font>
      <name val="Arial"/>
      <charset val="134"/>
      <color rgb="FF1E293B"/>
      <sz val="12"/>
    </font>
    <font>
      <name val="Arial"/>
      <charset val="134"/>
      <color theme="10"/>
      <sz val="12"/>
      <u val="single"/>
    </font>
    <font>
      <name val="Arial"/>
      <charset val="134"/>
      <b val="1"/>
      <color rgb="FF166534"/>
      <sz val="12"/>
    </font>
    <font>
      <name val="Arial"/>
      <charset val="134"/>
      <b val="1"/>
      <color rgb="FF991B1B"/>
      <sz val="12"/>
    </font>
    <font>
      <name val="Arial"/>
      <charset val="134"/>
      <b val="1"/>
      <color rgb="FF92400E"/>
      <sz val="12"/>
    </font>
    <font>
      <name val="Arial"/>
      <charset val="134"/>
      <b val="1"/>
      <color rgb="FF9A3412"/>
      <sz val="12"/>
    </font>
    <font>
      <name val="Arial"/>
      <charset val="134"/>
      <b val="1"/>
      <color rgb="FF374151"/>
      <sz val="12"/>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Arial"/>
      <charset val="134"/>
      <color theme="10"/>
      <sz val="10"/>
      <u val="single"/>
      <scheme val="minor"/>
    </font>
    <font>
      <name val="Arial"/>
      <b val="1"/>
      <color rgb="00FFFFFF"/>
      <sz val="12"/>
    </font>
    <font>
      <name val="Arial"/>
      <sz val="11"/>
    </font>
    <font>
      <name val="Arial"/>
      <b val="1"/>
      <sz val="11"/>
    </font>
  </fonts>
  <fills count="53">
    <fill>
      <patternFill/>
    </fill>
    <fill>
      <patternFill patternType="gray125"/>
    </fill>
    <fill>
      <patternFill patternType="solid">
        <fgColor rgb="FF5DC2C7"/>
        <bgColor rgb="FF5DC2C7"/>
      </patternFill>
    </fill>
    <fill>
      <patternFill patternType="solid">
        <fgColor rgb="FFFFFFFF"/>
        <bgColor rgb="FFFFFFFF"/>
      </patternFill>
    </fill>
    <fill>
      <patternFill patternType="solid">
        <fgColor rgb="FF6FA8DC"/>
        <bgColor rgb="FF6FA8DC"/>
      </patternFill>
    </fill>
    <fill>
      <patternFill patternType="solid">
        <fgColor rgb="FF1E3A8A"/>
        <bgColor rgb="FF1E3A8A"/>
      </patternFill>
    </fill>
    <fill>
      <patternFill patternType="solid">
        <fgColor rgb="FFF1F5F9"/>
        <bgColor rgb="FFF1F5F9"/>
      </patternFill>
    </fill>
    <fill>
      <patternFill patternType="solid">
        <fgColor rgb="FF0D9488"/>
        <bgColor rgb="FF0D9488"/>
      </patternFill>
    </fill>
    <fill>
      <patternFill patternType="solid">
        <fgColor rgb="FF4338CA"/>
        <bgColor rgb="FF4338CA"/>
      </patternFill>
    </fill>
    <fill>
      <patternFill patternType="solid">
        <fgColor theme="9"/>
        <bgColor theme="9"/>
      </patternFill>
    </fill>
    <fill>
      <patternFill patternType="solid">
        <fgColor rgb="FFD9EAF7"/>
        <bgColor rgb="FFD9EAF7"/>
      </patternFill>
    </fill>
    <fill>
      <patternFill patternType="solid">
        <fgColor rgb="FF1D4ED8"/>
        <bgColor rgb="FF1D4ED8"/>
      </patternFill>
    </fill>
    <fill>
      <patternFill patternType="solid">
        <fgColor rgb="FF2563EB"/>
        <bgColor rgb="FF2563EB"/>
      </patternFill>
    </fill>
    <fill>
      <patternFill patternType="solid">
        <fgColor rgb="FFF8FAFC"/>
        <bgColor rgb="FFF8FAFC"/>
      </patternFill>
    </fill>
    <fill>
      <patternFill patternType="solid">
        <fgColor rgb="FFDCFCE7"/>
        <bgColor rgb="FFDCFCE7"/>
      </patternFill>
    </fill>
    <fill>
      <patternFill patternType="solid">
        <fgColor rgb="FFFEE2E2"/>
        <bgColor rgb="FFFEE2E2"/>
      </patternFill>
    </fill>
    <fill>
      <patternFill patternType="solid">
        <fgColor rgb="FFFEF3C7"/>
        <bgColor rgb="FFFEF3C7"/>
      </patternFill>
    </fill>
    <fill>
      <patternFill patternType="solid">
        <fgColor rgb="FFFFEDD5"/>
        <bgColor rgb="FFFFEDD5"/>
      </patternFill>
    </fill>
    <fill>
      <patternFill patternType="solid">
        <fgColor rgb="FFF3F4F6"/>
        <bgColor rgb="FFF3F4F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3864"/>
      </patternFill>
    </fill>
    <fill>
      <patternFill patternType="solid">
        <fgColor rgb="00E8F0FE"/>
      </patternFill>
    </fill>
    <fill>
      <patternFill patternType="solid">
        <fgColor rgb="00FCE8D5"/>
      </patternFill>
    </fill>
  </fills>
  <borders count="6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style="medium">
        <color rgb="FF2F6F6B"/>
      </left>
      <right style="thin">
        <color rgb="FFB6C6D9"/>
      </right>
      <top style="medium">
        <color rgb="FF2F6F6B"/>
      </top>
      <bottom style="thin">
        <color rgb="FFB6C6D9"/>
      </bottom>
      <diagonal/>
    </border>
    <border>
      <left style="thin">
        <color rgb="FFB6C6D9"/>
      </left>
      <right style="thin">
        <color rgb="FFB6C6D9"/>
      </right>
      <top style="medium">
        <color rgb="FF2F6F6B"/>
      </top>
      <bottom style="thin">
        <color rgb="FFB6C6D9"/>
      </bottom>
      <diagonal/>
    </border>
    <border>
      <left style="thin">
        <color rgb="FFB6C6D9"/>
      </left>
      <right style="thin">
        <color rgb="FFB6C6D9"/>
      </right>
      <top/>
      <bottom style="thin">
        <color rgb="FFB6C6D9"/>
      </bottom>
      <diagonal/>
    </border>
    <border>
      <left style="thin">
        <color rgb="FFB6C6D9"/>
      </left>
      <right style="medium">
        <color rgb="FF2F6F6B"/>
      </right>
      <top/>
      <bottom style="thin">
        <color rgb="FFB6C6D9"/>
      </bottom>
      <diagonal/>
    </border>
    <border>
      <left style="thin">
        <color rgb="FFD3D3D3"/>
      </left>
      <right style="thin">
        <color rgb="FFD3D3D3"/>
      </right>
      <top style="thin">
        <color rgb="FFD3D3D3"/>
      </top>
      <bottom style="thin">
        <color rgb="FFD3D3D3"/>
      </bottom>
      <diagonal/>
    </border>
    <border>
      <left style="medium">
        <color rgb="FF2F6F6B"/>
      </left>
      <right style="thin">
        <color rgb="FFB6C6D9"/>
      </right>
      <top style="thin">
        <color rgb="FFB6C6D9"/>
      </top>
      <bottom style="thin">
        <color rgb="FFB6C6D9"/>
      </bottom>
      <diagonal/>
    </border>
    <border>
      <left style="thin">
        <color rgb="FFB6C6D9"/>
      </left>
      <right style="thin">
        <color rgb="FFB6C6D9"/>
      </right>
      <top style="thin">
        <color rgb="FFB6C6D9"/>
      </top>
      <bottom style="thin">
        <color rgb="FFB6C6D9"/>
      </bottom>
      <diagonal/>
    </border>
    <border>
      <left style="thin">
        <color rgb="FFB6C6D9"/>
      </left>
      <right style="medium">
        <color rgb="FF2F6F6B"/>
      </right>
      <top style="thin">
        <color rgb="FFB6C6D9"/>
      </top>
      <bottom style="thin">
        <color rgb="FFB6C6D9"/>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style="medium">
        <color rgb="FF000000"/>
      </right>
      <top/>
      <bottom style="dotted">
        <color rgb="FF000000"/>
      </bottom>
      <diagonal/>
    </border>
    <border>
      <left/>
      <right style="medium">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style="dotted">
        <color rgb="FF000000"/>
      </right>
      <top/>
      <bottom/>
      <diagonal/>
    </border>
    <border>
      <left style="dotted">
        <color rgb="FF000000"/>
      </left>
      <right style="dotted">
        <color rgb="FF000000"/>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style="medium">
        <color rgb="FF000000"/>
      </right>
      <top style="dotted">
        <color rgb="FF000000"/>
      </top>
      <bottom/>
      <diagonal/>
    </border>
    <border>
      <left/>
      <right style="medium">
        <color rgb="FF000000"/>
      </right>
      <top style="dotted">
        <color rgb="FF000000"/>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CBD5E1"/>
      </top>
      <bottom/>
      <diagonal/>
    </border>
    <border>
      <left/>
      <right style="thin">
        <color rgb="FFCBD5E1"/>
      </right>
      <top style="thin">
        <color rgb="FFCBD5E1"/>
      </top>
      <bottom/>
      <diagonal/>
    </border>
    <border>
      <left/>
      <right/>
      <top style="thin">
        <color rgb="FF000000"/>
      </top>
      <bottom/>
      <diagonal/>
    </border>
    <border>
      <left/>
      <right style="thin">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right style="dotted">
        <color rgb="FF000000"/>
      </right>
      <top/>
      <bottom/>
      <diagonal/>
    </border>
    <border>
      <left/>
      <right style="medium">
        <color rgb="FF000000"/>
      </right>
      <top/>
      <bottom/>
      <diagonal/>
    </border>
    <border>
      <left style="thin">
        <color rgb="FF000000"/>
      </left>
      <right/>
      <top/>
      <bottom/>
      <diagonal/>
    </border>
    <border>
      <left style="thin">
        <color rgb="00CCCCCC"/>
      </left>
      <right style="thin">
        <color rgb="00CCCCCC"/>
      </right>
      <top style="thin">
        <color rgb="00CCCCCC"/>
      </top>
      <bottom style="thin">
        <color rgb="00CCCCCC"/>
      </bottom>
    </border>
  </borders>
  <cellStyleXfs count="50">
    <xf numFmtId="0" fontId="0" fillId="0" borderId="0"/>
    <xf numFmtId="166" fontId="23" fillId="0" borderId="0" applyAlignment="1">
      <alignment vertical="center"/>
    </xf>
    <xf numFmtId="44" fontId="23" fillId="0" borderId="0" applyAlignment="1">
      <alignment vertical="center"/>
    </xf>
    <xf numFmtId="9" fontId="23" fillId="0" borderId="0" applyAlignment="1">
      <alignment vertical="center"/>
    </xf>
    <xf numFmtId="167" fontId="23" fillId="0" borderId="0" applyAlignment="1">
      <alignment vertical="center"/>
    </xf>
    <xf numFmtId="42" fontId="23" fillId="0" borderId="0" applyAlignment="1">
      <alignment vertical="center"/>
    </xf>
    <xf numFmtId="0" fontId="24" fillId="0" borderId="0" applyAlignment="1">
      <alignment vertical="center"/>
    </xf>
    <xf numFmtId="0" fontId="25" fillId="0" borderId="0" applyAlignment="1">
      <alignment vertical="center"/>
    </xf>
    <xf numFmtId="0" fontId="23" fillId="19" borderId="41"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42" applyAlignment="1">
      <alignment vertical="center"/>
    </xf>
    <xf numFmtId="0" fontId="30" fillId="0" borderId="42" applyAlignment="1">
      <alignment vertical="center"/>
    </xf>
    <xf numFmtId="0" fontId="31" fillId="0" borderId="43" applyAlignment="1">
      <alignment vertical="center"/>
    </xf>
    <xf numFmtId="0" fontId="31" fillId="0" borderId="0" applyAlignment="1">
      <alignment vertical="center"/>
    </xf>
    <xf numFmtId="0" fontId="32" fillId="20" borderId="44" applyAlignment="1">
      <alignment vertical="center"/>
    </xf>
    <xf numFmtId="0" fontId="33" fillId="21" borderId="45" applyAlignment="1">
      <alignment vertical="center"/>
    </xf>
    <xf numFmtId="0" fontId="34" fillId="21" borderId="44" applyAlignment="1">
      <alignment vertical="center"/>
    </xf>
    <xf numFmtId="0" fontId="35" fillId="22" borderId="46" applyAlignment="1">
      <alignment vertical="center"/>
    </xf>
    <xf numFmtId="0" fontId="36" fillId="0" borderId="47" applyAlignment="1">
      <alignment vertical="center"/>
    </xf>
    <xf numFmtId="0" fontId="37" fillId="0" borderId="48" applyAlignment="1">
      <alignment vertical="center"/>
    </xf>
    <xf numFmtId="0" fontId="38" fillId="23" borderId="0" applyAlignment="1">
      <alignment vertical="center"/>
    </xf>
    <xf numFmtId="0" fontId="39" fillId="24" borderId="0" applyAlignment="1">
      <alignment vertical="center"/>
    </xf>
    <xf numFmtId="0" fontId="40" fillId="25" borderId="0" applyAlignment="1">
      <alignment vertical="center"/>
    </xf>
    <xf numFmtId="0" fontId="41" fillId="26" borderId="0" applyAlignment="1">
      <alignment vertical="center"/>
    </xf>
    <xf numFmtId="0" fontId="42" fillId="27" borderId="0" applyAlignment="1">
      <alignment vertical="center"/>
    </xf>
    <xf numFmtId="0" fontId="42" fillId="28" borderId="0" applyAlignment="1">
      <alignment vertical="center"/>
    </xf>
    <xf numFmtId="0" fontId="41" fillId="29" borderId="0" applyAlignment="1">
      <alignment vertical="center"/>
    </xf>
    <xf numFmtId="0" fontId="41" fillId="30" borderId="0" applyAlignment="1">
      <alignment vertical="center"/>
    </xf>
    <xf numFmtId="0" fontId="42" fillId="31" borderId="0" applyAlignment="1">
      <alignment vertical="center"/>
    </xf>
    <xf numFmtId="0" fontId="42" fillId="32" borderId="0" applyAlignment="1">
      <alignment vertical="center"/>
    </xf>
    <xf numFmtId="0" fontId="41" fillId="33" borderId="0" applyAlignment="1">
      <alignment vertical="center"/>
    </xf>
    <xf numFmtId="0" fontId="41" fillId="34" borderId="0" applyAlignment="1">
      <alignment vertical="center"/>
    </xf>
    <xf numFmtId="0" fontId="42" fillId="35" borderId="0" applyAlignment="1">
      <alignment vertical="center"/>
    </xf>
    <xf numFmtId="0" fontId="42" fillId="36" borderId="0" applyAlignment="1">
      <alignment vertical="center"/>
    </xf>
    <xf numFmtId="0" fontId="41" fillId="37" borderId="0" applyAlignment="1">
      <alignment vertical="center"/>
    </xf>
    <xf numFmtId="0" fontId="41" fillId="38" borderId="0" applyAlignment="1">
      <alignment vertical="center"/>
    </xf>
    <xf numFmtId="0" fontId="42" fillId="39" borderId="0" applyAlignment="1">
      <alignment vertical="center"/>
    </xf>
    <xf numFmtId="0" fontId="42" fillId="40" borderId="0" applyAlignment="1">
      <alignment vertical="center"/>
    </xf>
    <xf numFmtId="0" fontId="41" fillId="41" borderId="0" applyAlignment="1">
      <alignment vertical="center"/>
    </xf>
    <xf numFmtId="0" fontId="41" fillId="42" borderId="0" applyAlignment="1">
      <alignment vertical="center"/>
    </xf>
    <xf numFmtId="0" fontId="42" fillId="43" borderId="0" applyAlignment="1">
      <alignment vertical="center"/>
    </xf>
    <xf numFmtId="0" fontId="42" fillId="44" borderId="0" applyAlignment="1">
      <alignment vertical="center"/>
    </xf>
    <xf numFmtId="0" fontId="41" fillId="45" borderId="0" applyAlignment="1">
      <alignment vertical="center"/>
    </xf>
    <xf numFmtId="0" fontId="41" fillId="46" borderId="0" applyAlignment="1">
      <alignment vertical="center"/>
    </xf>
    <xf numFmtId="0" fontId="42" fillId="47" borderId="0" applyAlignment="1">
      <alignment vertical="center"/>
    </xf>
    <xf numFmtId="0" fontId="42" fillId="48" borderId="0" applyAlignment="1">
      <alignment vertical="center"/>
    </xf>
    <xf numFmtId="0" fontId="41" fillId="49" borderId="0" applyAlignment="1">
      <alignment vertical="center"/>
    </xf>
    <xf numFmtId="0" fontId="43" fillId="0" borderId="0"/>
  </cellStyleXfs>
  <cellXfs count="19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1" fillId="3" borderId="0" pivotButton="0" quotePrefix="0" xfId="0"/>
    <xf numFmtId="0" fontId="3" fillId="4" borderId="1" applyAlignment="1" pivotButton="0" quotePrefix="0" xfId="0">
      <alignment horizontal="center" wrapText="1"/>
    </xf>
    <xf numFmtId="0" fontId="3" fillId="2" borderId="1" applyAlignment="1" pivotButton="0" quotePrefix="0" xfId="0">
      <alignment wrapText="1"/>
    </xf>
    <xf numFmtId="0" fontId="1" fillId="0" borderId="1" pivotButton="0" quotePrefix="0" xfId="0"/>
    <xf numFmtId="0" fontId="2" fillId="0" borderId="2" pivotButton="0" quotePrefix="0" xfId="0"/>
    <xf numFmtId="0" fontId="3" fillId="2" borderId="1" applyAlignment="1" pivotButton="0" quotePrefix="0" xfId="0">
      <alignment horizontal="center" vertical="center" wrapText="1"/>
    </xf>
    <xf numFmtId="0" fontId="3" fillId="3" borderId="1" applyAlignment="1" pivotButton="0" quotePrefix="0" xfId="0">
      <alignment wrapText="1"/>
    </xf>
    <xf numFmtId="0" fontId="3" fillId="3" borderId="2" applyAlignment="1" pivotButton="0" quotePrefix="0" xfId="0">
      <alignment horizontal="center" wrapText="1"/>
    </xf>
    <xf numFmtId="0" fontId="2" fillId="0" borderId="3" pivotButton="0" quotePrefix="0" xfId="0"/>
    <xf numFmtId="164" fontId="1" fillId="3" borderId="1" applyAlignment="1" pivotButton="0" quotePrefix="0" xfId="0">
      <alignment horizontal="left"/>
    </xf>
    <xf numFmtId="0" fontId="2" fillId="0" borderId="4" pivotButton="0" quotePrefix="0" xfId="0"/>
    <xf numFmtId="0" fontId="2" fillId="0" borderId="5" pivotButton="0" quotePrefix="0" xfId="0"/>
    <xf numFmtId="0" fontId="1" fillId="3" borderId="0" applyAlignment="1" pivotButton="0" quotePrefix="0" xfId="0">
      <alignment vertical="center" wrapText="1"/>
    </xf>
    <xf numFmtId="0" fontId="3" fillId="2" borderId="6" applyAlignment="1" pivotButton="0" quotePrefix="0" xfId="0">
      <alignment horizontal="center" vertical="center" wrapText="1"/>
    </xf>
    <xf numFmtId="0" fontId="3" fillId="0" borderId="0" applyAlignment="1" pivotButton="0" quotePrefix="0" xfId="0">
      <alignment horizontal="center" vertical="center" wrapText="1"/>
    </xf>
    <xf numFmtId="0" fontId="1" fillId="3" borderId="1" applyAlignment="1" pivotButton="0" quotePrefix="0" xfId="0">
      <alignment horizontal="center" vertical="top" wrapText="1"/>
    </xf>
    <xf numFmtId="0" fontId="1" fillId="3" borderId="1" applyAlignment="1" pivotButton="0" quotePrefix="0" xfId="0">
      <alignment horizontal="left" vertical="top" wrapText="1"/>
    </xf>
    <xf numFmtId="0" fontId="1" fillId="0" borderId="1" applyAlignment="1" pivotButton="0" quotePrefix="0" xfId="0">
      <alignment horizontal="left" vertical="top" wrapText="1"/>
    </xf>
    <xf numFmtId="0" fontId="1" fillId="3" borderId="1" applyAlignment="1" pivotButton="0" quotePrefix="0" xfId="0">
      <alignment horizontal="center" vertical="center"/>
    </xf>
    <xf numFmtId="164" fontId="1" fillId="3" borderId="1" applyAlignment="1" pivotButton="0" quotePrefix="0" xfId="0">
      <alignment horizontal="center" vertical="center"/>
    </xf>
    <xf numFmtId="164" fontId="1" fillId="0" borderId="1" applyAlignment="1" pivotButton="0" quotePrefix="0" xfId="0">
      <alignment horizontal="center" vertical="center"/>
    </xf>
    <xf numFmtId="164" fontId="1" fillId="3" borderId="1" applyAlignment="1" pivotButton="0" quotePrefix="0" xfId="0">
      <alignment horizontal="center" vertical="top" wrapText="1"/>
    </xf>
    <xf numFmtId="164" fontId="1" fillId="0" borderId="1" applyAlignment="1" pivotButton="0" quotePrefix="0" xfId="0">
      <alignment horizontal="center" vertical="top" wrapText="1"/>
    </xf>
    <xf numFmtId="0" fontId="1" fillId="0" borderId="1"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wrapText="1"/>
    </xf>
    <xf numFmtId="0" fontId="4" fillId="0" borderId="0" pivotButton="0" quotePrefix="0" xfId="0"/>
    <xf numFmtId="0" fontId="5" fillId="3" borderId="0" applyAlignment="1" pivotButton="0" quotePrefix="0" xfId="0">
      <alignment vertical="center" wrapText="1"/>
    </xf>
    <xf numFmtId="0" fontId="5" fillId="3" borderId="1" applyAlignment="1" pivotButton="0" quotePrefix="0" xfId="0">
      <alignment horizontal="center" vertical="top" wrapText="1"/>
    </xf>
    <xf numFmtId="0" fontId="5" fillId="3"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center"/>
    </xf>
    <xf numFmtId="164" fontId="5" fillId="3" borderId="1" applyAlignment="1" pivotButton="0" quotePrefix="0" xfId="0">
      <alignment horizontal="center" vertical="center"/>
    </xf>
    <xf numFmtId="164" fontId="5" fillId="0" borderId="1" applyAlignment="1" pivotButton="0" quotePrefix="0" xfId="0">
      <alignment horizontal="center" vertical="center"/>
    </xf>
    <xf numFmtId="164" fontId="5" fillId="3" borderId="1" applyAlignment="1" pivotButton="0" quotePrefix="0" xfId="0">
      <alignment horizontal="center" vertical="top" wrapText="1"/>
    </xf>
    <xf numFmtId="164" fontId="5"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0" applyAlignment="1" pivotButton="0" quotePrefix="0" xfId="0">
      <alignment vertical="top" wrapText="1"/>
    </xf>
    <xf numFmtId="0" fontId="5" fillId="0" borderId="0" applyAlignment="1" pivotButton="0" quotePrefix="0" xfId="0">
      <alignment wrapText="1"/>
    </xf>
    <xf numFmtId="0" fontId="4" fillId="0" borderId="0" applyAlignment="1" pivotButton="0" quotePrefix="0" xfId="0">
      <alignment vertical="center"/>
    </xf>
    <xf numFmtId="0" fontId="1" fillId="0" borderId="0" applyAlignment="1" pivotButton="0" quotePrefix="0" xfId="0">
      <alignment vertical="center"/>
    </xf>
    <xf numFmtId="0" fontId="1" fillId="3" borderId="0" applyAlignment="1" pivotButton="0" quotePrefix="0" xfId="0">
      <alignment vertical="center"/>
    </xf>
    <xf numFmtId="0" fontId="3" fillId="4" borderId="1" applyAlignment="1" pivotButton="0" quotePrefix="0" xfId="0">
      <alignment horizontal="center" vertical="center" wrapText="1"/>
    </xf>
    <xf numFmtId="0" fontId="3" fillId="2" borderId="1" applyAlignment="1" pivotButton="0" quotePrefix="0" xfId="0">
      <alignment vertical="center" wrapText="1"/>
    </xf>
    <xf numFmtId="0" fontId="1" fillId="0" borderId="1" applyAlignment="1" pivotButton="0" quotePrefix="0" xfId="0">
      <alignment vertical="center"/>
    </xf>
    <xf numFmtId="0" fontId="3" fillId="3" borderId="1" applyAlignment="1" pivotButton="0" quotePrefix="0" xfId="0">
      <alignment vertical="center" wrapText="1"/>
    </xf>
    <xf numFmtId="0" fontId="3" fillId="3" borderId="2" applyAlignment="1" pivotButton="0" quotePrefix="0" xfId="0">
      <alignment horizontal="center" vertical="center" wrapText="1"/>
    </xf>
    <xf numFmtId="164" fontId="1" fillId="3" borderId="1" applyAlignment="1" pivotButton="0" quotePrefix="0" xfId="0">
      <alignment horizontal="left" vertical="center"/>
    </xf>
    <xf numFmtId="0" fontId="1" fillId="3"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0" borderId="1" applyAlignment="1" pivotButton="0" quotePrefix="0" xfId="0">
      <alignment horizontal="left" vertical="center" wrapText="1"/>
    </xf>
    <xf numFmtId="164" fontId="1" fillId="3" borderId="1" applyAlignment="1" pivotButton="0" quotePrefix="0" xfId="0">
      <alignment horizontal="center" vertical="center" wrapText="1"/>
    </xf>
    <xf numFmtId="164"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0" borderId="1" applyAlignment="1" pivotButton="0" quotePrefix="0" xfId="0">
      <alignment horizontal="left" vertical="center" wrapText="1"/>
    </xf>
    <xf numFmtId="164" fontId="5"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0" applyAlignment="1" pivotButton="0" quotePrefix="0" xfId="0">
      <alignment vertical="center" wrapText="1"/>
    </xf>
    <xf numFmtId="0" fontId="1" fillId="0" borderId="0" applyAlignment="1" pivotButton="0" quotePrefix="0" xfId="0">
      <alignment wrapText="1"/>
    </xf>
    <xf numFmtId="0" fontId="6" fillId="0" borderId="0" pivotButton="0" quotePrefix="0" xfId="0"/>
    <xf numFmtId="0" fontId="7" fillId="0" borderId="0" pivotButton="0" quotePrefix="0" xfId="0"/>
    <xf numFmtId="0" fontId="8" fillId="0" borderId="0" pivotButton="0" quotePrefix="0" xfId="0"/>
    <xf numFmtId="0" fontId="9" fillId="5" borderId="0" applyAlignment="1" pivotButton="0" quotePrefix="0" xfId="0">
      <alignment horizontal="left" vertical="center" indent="1"/>
    </xf>
    <xf numFmtId="0" fontId="7" fillId="6" borderId="7"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7" applyAlignment="1" pivotButton="0" quotePrefix="0" xfId="0">
      <alignment horizontal="left" vertical="center" wrapText="1"/>
    </xf>
    <xf numFmtId="0" fontId="11" fillId="0" borderId="7" applyAlignment="1" pivotButton="0" quotePrefix="0" xfId="0">
      <alignment horizontal="left" vertical="center" wrapText="1"/>
    </xf>
    <xf numFmtId="0" fontId="11" fillId="0" borderId="7" applyAlignment="1" pivotButton="0" quotePrefix="0" xfId="0">
      <alignment horizontal="center" vertical="center" wrapText="1"/>
    </xf>
    <xf numFmtId="0" fontId="2" fillId="0" borderId="8" pivotButton="0" quotePrefix="0" xfId="0"/>
    <xf numFmtId="0" fontId="9" fillId="7" borderId="0" applyAlignment="1" pivotButton="0" quotePrefix="0" xfId="0">
      <alignment horizontal="left" vertical="center" indent="1"/>
    </xf>
    <xf numFmtId="0" fontId="9" fillId="8" borderId="0" applyAlignment="1" pivotButton="0" quotePrefix="0" xfId="0">
      <alignment horizontal="left" vertical="center" indent="1"/>
    </xf>
    <xf numFmtId="0" fontId="3" fillId="9" borderId="1" applyAlignment="1" pivotButton="0" quotePrefix="0" xfId="0">
      <alignment horizontal="center" vertical="center" wrapText="1"/>
    </xf>
    <xf numFmtId="0" fontId="3" fillId="0" borderId="0" applyAlignment="1" pivotButton="0" quotePrefix="0" xfId="0">
      <alignment wrapText="1"/>
    </xf>
    <xf numFmtId="0" fontId="3" fillId="0" borderId="1" applyAlignment="1" pivotButton="0" quotePrefix="0" xfId="0">
      <alignment wrapText="1"/>
    </xf>
    <xf numFmtId="0" fontId="3" fillId="2" borderId="9" applyAlignment="1" pivotButton="0" quotePrefix="0" xfId="0">
      <alignment horizontal="center" vertical="center" wrapText="1"/>
    </xf>
    <xf numFmtId="0" fontId="3" fillId="2" borderId="10" applyAlignment="1" pivotButton="0" quotePrefix="0" xfId="0">
      <alignment horizontal="center" vertical="center" wrapText="1"/>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12" fillId="10" borderId="13" applyAlignment="1" pivotButton="0" quotePrefix="0" xfId="0">
      <alignment horizontal="center" vertical="center" wrapText="1"/>
    </xf>
    <xf numFmtId="0" fontId="12" fillId="10" borderId="13" applyAlignment="1" pivotButton="0" quotePrefix="0" xfId="0">
      <alignment horizontal="left" vertical="center" wrapText="1"/>
    </xf>
    <xf numFmtId="0" fontId="12" fillId="10" borderId="13" applyAlignment="1" pivotButton="0" quotePrefix="0" xfId="0">
      <alignment horizontal="right" vertical="center" wrapText="1"/>
    </xf>
    <xf numFmtId="0" fontId="1" fillId="0" borderId="13" applyAlignment="1" pivotButton="0" quotePrefix="0" xfId="0">
      <alignment horizontal="center" vertical="center" wrapText="1"/>
    </xf>
    <xf numFmtId="0" fontId="1" fillId="0" borderId="13" applyAlignment="1" pivotButton="0" quotePrefix="0" xfId="0">
      <alignment horizontal="left" vertical="center" wrapText="1"/>
    </xf>
    <xf numFmtId="0" fontId="1" fillId="0" borderId="13" applyAlignment="1" pivotButton="0" quotePrefix="0" xfId="0">
      <alignment horizontal="right" vertical="center" wrapText="1"/>
    </xf>
    <xf numFmtId="0" fontId="1" fillId="6" borderId="13" applyAlignment="1" pivotButton="0" quotePrefix="0" xfId="0">
      <alignment horizontal="center" vertical="center" wrapText="1"/>
    </xf>
    <xf numFmtId="0" fontId="13" fillId="6" borderId="13" applyAlignment="1" pivotButton="0" quotePrefix="0" xfId="0">
      <alignment horizontal="left" vertical="center" wrapText="1"/>
    </xf>
    <xf numFmtId="0" fontId="13" fillId="6" borderId="13" applyAlignment="1" pivotButton="0" quotePrefix="0" xfId="0">
      <alignment horizontal="right" vertical="center" wrapText="1"/>
    </xf>
    <xf numFmtId="0" fontId="1" fillId="0" borderId="14" pivotButton="0" quotePrefix="0" xfId="0"/>
    <xf numFmtId="0" fontId="1" fillId="0" borderId="15" pivotButton="0" quotePrefix="0" xfId="0"/>
    <xf numFmtId="0" fontId="1" fillId="0" borderId="16" pivotButton="0" quotePrefix="0" xfId="0"/>
    <xf numFmtId="0" fontId="1" fillId="6" borderId="14" pivotButton="0" quotePrefix="0" xfId="0"/>
    <xf numFmtId="0" fontId="13" fillId="6" borderId="15" pivotButton="0" quotePrefix="0" xfId="0"/>
    <xf numFmtId="0" fontId="1" fillId="6" borderId="15" pivotButton="0" quotePrefix="0" xfId="0"/>
    <xf numFmtId="0" fontId="13" fillId="6" borderId="16" pivotButton="0" quotePrefix="0" xfId="0"/>
    <xf numFmtId="0" fontId="12" fillId="10" borderId="14" pivotButton="0" quotePrefix="0" xfId="0"/>
    <xf numFmtId="0" fontId="12" fillId="10" borderId="15" pivotButton="0" quotePrefix="0" xfId="0"/>
    <xf numFmtId="0" fontId="12" fillId="10" borderId="16" pivotButton="0" quotePrefix="0" xfId="0"/>
    <xf numFmtId="0" fontId="14" fillId="9" borderId="1" applyAlignment="1" pivotButton="0" quotePrefix="0" xfId="0">
      <alignment horizontal="center"/>
    </xf>
    <xf numFmtId="0" fontId="14" fillId="9" borderId="17" applyAlignment="1" pivotButton="0" quotePrefix="0" xfId="0">
      <alignment wrapText="1"/>
    </xf>
    <xf numFmtId="0" fontId="14" fillId="9" borderId="18" applyAlignment="1" pivotButton="0" quotePrefix="0" xfId="0">
      <alignment horizontal="center" wrapText="1"/>
    </xf>
    <xf numFmtId="0" fontId="2" fillId="0" borderId="19" pivotButton="0" quotePrefix="0" xfId="0"/>
    <xf numFmtId="0" fontId="2" fillId="0" borderId="20" pivotButton="0" quotePrefix="0" xfId="0"/>
    <xf numFmtId="0" fontId="14" fillId="9" borderId="21" applyAlignment="1" pivotButton="0" quotePrefix="0" xfId="0">
      <alignment horizontal="center" wrapText="1"/>
    </xf>
    <xf numFmtId="0" fontId="2" fillId="0" borderId="22" pivotButton="0" quotePrefix="0" xfId="0"/>
    <xf numFmtId="0" fontId="2" fillId="0" borderId="23" applyAlignment="1" pivotButton="0" quotePrefix="0" xfId="0">
      <alignment horizontal="right" wrapText="1"/>
    </xf>
    <xf numFmtId="165" fontId="2" fillId="0" borderId="24" applyAlignment="1" pivotButton="0" quotePrefix="0" xfId="0">
      <alignment horizontal="center" wrapText="1"/>
    </xf>
    <xf numFmtId="0" fontId="2" fillId="0" borderId="25" pivotButton="0" quotePrefix="0" xfId="0"/>
    <xf numFmtId="0" fontId="2" fillId="0" borderId="26" pivotButton="0" quotePrefix="0" xfId="0"/>
    <xf numFmtId="0" fontId="2" fillId="0" borderId="24" applyAlignment="1" pivotButton="0" quotePrefix="0" xfId="0">
      <alignment horizontal="center" wrapText="1"/>
    </xf>
    <xf numFmtId="0" fontId="2" fillId="0" borderId="24" applyAlignment="1" pivotButton="0" quotePrefix="0" xfId="0">
      <alignment wrapText="1"/>
    </xf>
    <xf numFmtId="0" fontId="2" fillId="0" borderId="27" applyAlignment="1" pivotButton="0" quotePrefix="0" xfId="0">
      <alignment horizontal="center" wrapText="1"/>
    </xf>
    <xf numFmtId="0" fontId="2" fillId="0" borderId="28" pivotButton="0" quotePrefix="0" xfId="0"/>
    <xf numFmtId="0" fontId="2" fillId="0" borderId="29" applyAlignment="1" pivotButton="0" quotePrefix="0" xfId="0">
      <alignment horizontal="center" wrapText="1"/>
    </xf>
    <xf numFmtId="0" fontId="2" fillId="0" borderId="30" pivotButton="0" quotePrefix="0" xfId="0"/>
    <xf numFmtId="0" fontId="2" fillId="0" borderId="31" pivotButton="0" quotePrefix="0" xfId="0"/>
    <xf numFmtId="0" fontId="2" fillId="0" borderId="29" applyAlignment="1" pivotButton="0" quotePrefix="0" xfId="0">
      <alignment wrapText="1"/>
    </xf>
    <xf numFmtId="165" fontId="2" fillId="0" borderId="29" pivotButton="0" quotePrefix="0" xfId="0"/>
    <xf numFmtId="0" fontId="2" fillId="0" borderId="29" pivotButton="0" quotePrefix="0" xfId="0"/>
    <xf numFmtId="0" fontId="2" fillId="0" borderId="27" pivotButton="0" quotePrefix="0" xfId="0"/>
    <xf numFmtId="0" fontId="1" fillId="0" borderId="29" pivotButton="0" quotePrefix="0" xfId="0"/>
    <xf numFmtId="0" fontId="2" fillId="0" borderId="32" pivotButton="0" quotePrefix="0" xfId="0"/>
    <xf numFmtId="0" fontId="2" fillId="0" borderId="33" pivotButton="0" quotePrefix="0" xfId="0"/>
    <xf numFmtId="0" fontId="2" fillId="0" borderId="23" pivotButton="0" quotePrefix="0" xfId="0"/>
    <xf numFmtId="0" fontId="2" fillId="0" borderId="34" pivotButton="0" quotePrefix="0" xfId="0"/>
    <xf numFmtId="165" fontId="2" fillId="0" borderId="35" pivotButton="0" quotePrefix="0" xfId="0"/>
    <xf numFmtId="0" fontId="2" fillId="0" borderId="36" pivotButton="0" quotePrefix="0" xfId="0"/>
    <xf numFmtId="0" fontId="2" fillId="0" borderId="37" pivotButton="0" quotePrefix="0" xfId="0"/>
    <xf numFmtId="0" fontId="2" fillId="0" borderId="35" pivotButton="0" quotePrefix="0" xfId="0"/>
    <xf numFmtId="0" fontId="2" fillId="0" borderId="38" pivotButton="0" quotePrefix="0" xfId="0"/>
    <xf numFmtId="0" fontId="2" fillId="0" borderId="39" pivotButton="0" quotePrefix="0" xfId="0"/>
    <xf numFmtId="0" fontId="2" fillId="9" borderId="40" pivotButton="0" quotePrefix="0" xfId="0"/>
    <xf numFmtId="0" fontId="9" fillId="5" borderId="0" applyAlignment="1" pivotButton="0" quotePrefix="0" xfId="0">
      <alignment horizontal="center" vertical="center"/>
    </xf>
    <xf numFmtId="0" fontId="15" fillId="11" borderId="0" applyAlignment="1" pivotButton="0" quotePrefix="0" xfId="0">
      <alignment horizontal="center" vertical="center"/>
    </xf>
    <xf numFmtId="0" fontId="9" fillId="12" borderId="0" applyAlignment="1" pivotButton="0" quotePrefix="0" xfId="0">
      <alignment horizontal="left" vertical="center" indent="1"/>
    </xf>
    <xf numFmtId="0" fontId="7" fillId="6" borderId="7" applyAlignment="1" pivotButton="0" quotePrefix="0" xfId="0">
      <alignment horizontal="center" vertical="center"/>
    </xf>
    <xf numFmtId="0" fontId="7" fillId="6" borderId="7" applyAlignment="1" pivotButton="0" quotePrefix="0" xfId="0">
      <alignment horizontal="left" vertical="center"/>
    </xf>
    <xf numFmtId="0" fontId="16" fillId="0" borderId="7" applyAlignment="1" pivotButton="0" quotePrefix="0" xfId="0">
      <alignment horizontal="center" vertical="center"/>
    </xf>
    <xf numFmtId="0" fontId="7" fillId="0" borderId="7" applyAlignment="1" pivotButton="0" quotePrefix="0" xfId="0">
      <alignment horizontal="left" vertical="center"/>
    </xf>
    <xf numFmtId="0" fontId="16" fillId="0" borderId="7" applyAlignment="1" pivotButton="0" quotePrefix="0" xfId="0">
      <alignment horizontal="left" vertical="center"/>
    </xf>
    <xf numFmtId="0" fontId="16" fillId="13" borderId="7" applyAlignment="1" pivotButton="0" quotePrefix="0" xfId="0">
      <alignment horizontal="center" vertical="center"/>
    </xf>
    <xf numFmtId="0" fontId="7" fillId="13" borderId="7" applyAlignment="1" pivotButton="0" quotePrefix="0" xfId="0">
      <alignment horizontal="left" vertical="center"/>
    </xf>
    <xf numFmtId="0" fontId="16" fillId="13" borderId="7" applyAlignment="1" pivotButton="0" quotePrefix="0" xfId="0">
      <alignment horizontal="left" vertical="center"/>
    </xf>
    <xf numFmtId="0" fontId="17" fillId="13" borderId="7" applyAlignment="1" pivotButton="0" quotePrefix="0" xfId="49">
      <alignment horizontal="left" vertical="center"/>
    </xf>
    <xf numFmtId="0" fontId="7" fillId="0" borderId="7" applyAlignment="1" pivotButton="0" quotePrefix="0" xfId="0">
      <alignment horizontal="center" vertical="center"/>
    </xf>
    <xf numFmtId="0" fontId="18" fillId="14" borderId="7" applyAlignment="1" pivotButton="0" quotePrefix="0" xfId="0">
      <alignment horizontal="center" vertical="center"/>
    </xf>
    <xf numFmtId="0" fontId="19" fillId="15" borderId="7" applyAlignment="1" pivotButton="0" quotePrefix="0" xfId="0">
      <alignment horizontal="center" vertical="center"/>
    </xf>
    <xf numFmtId="0" fontId="20" fillId="16" borderId="7" applyAlignment="1" pivotButton="0" quotePrefix="0" xfId="0">
      <alignment horizontal="center" vertical="center"/>
    </xf>
    <xf numFmtId="0" fontId="21" fillId="17" borderId="7" applyAlignment="1" pivotButton="0" quotePrefix="0" xfId="0">
      <alignment horizontal="center" vertical="center"/>
    </xf>
    <xf numFmtId="0" fontId="22" fillId="18" borderId="7" applyAlignment="1" pivotButton="0" quotePrefix="0" xfId="0">
      <alignment horizontal="center" vertical="center"/>
    </xf>
    <xf numFmtId="0" fontId="7" fillId="13" borderId="7" applyAlignment="1" pivotButton="0" quotePrefix="0" xfId="0">
      <alignment horizontal="center" vertical="center"/>
    </xf>
    <xf numFmtId="0" fontId="2" fillId="0" borderId="7" pivotButton="0" quotePrefix="0" xfId="0"/>
    <xf numFmtId="0" fontId="16" fillId="0" borderId="7" pivotButton="0" quotePrefix="0" xfId="0"/>
    <xf numFmtId="0" fontId="0" fillId="0" borderId="8" pivotButton="0" quotePrefix="0" xfId="0"/>
    <xf numFmtId="0" fontId="0" fillId="0" borderId="5" pivotButton="0" quotePrefix="0" xfId="0"/>
    <xf numFmtId="0" fontId="0" fillId="0" borderId="2" pivotButton="0" quotePrefix="0" xfId="0"/>
    <xf numFmtId="0" fontId="0" fillId="0" borderId="19" pivotButton="0" quotePrefix="0" xfId="0"/>
    <xf numFmtId="0" fontId="0" fillId="0" borderId="20" pivotButton="0" quotePrefix="0" xfId="0"/>
    <xf numFmtId="0" fontId="0" fillId="0" borderId="22" pivotButton="0" quotePrefix="0" xfId="0"/>
    <xf numFmtId="165" fontId="2" fillId="0" borderId="24" applyAlignment="1" pivotButton="0" quotePrefix="0" xfId="0">
      <alignment horizontal="center" wrapText="1"/>
    </xf>
    <xf numFmtId="0" fontId="0" fillId="0" borderId="25" pivotButton="0" quotePrefix="0" xfId="0"/>
    <xf numFmtId="0" fontId="0" fillId="0" borderId="26" pivotButton="0" quotePrefix="0" xfId="0"/>
    <xf numFmtId="0" fontId="0" fillId="0" borderId="28" pivotButton="0" quotePrefix="0" xfId="0"/>
    <xf numFmtId="0" fontId="0" fillId="0" borderId="30" pivotButton="0" quotePrefix="0" xfId="0"/>
    <xf numFmtId="0" fontId="0" fillId="0" borderId="31" pivotButton="0" quotePrefix="0" xfId="0"/>
    <xf numFmtId="165" fontId="2" fillId="0" borderId="29" pivotButton="0" quotePrefix="0" xfId="0"/>
    <xf numFmtId="0" fontId="0" fillId="0" borderId="33" pivotButton="0" quotePrefix="0" xfId="0"/>
    <xf numFmtId="165" fontId="2" fillId="0" borderId="35" pivotButton="0" quotePrefix="0" xfId="0"/>
    <xf numFmtId="0" fontId="0" fillId="0" borderId="36" pivotButton="0" quotePrefix="0" xfId="0"/>
    <xf numFmtId="0" fontId="0" fillId="0" borderId="37" pivotButton="0" quotePrefix="0" xfId="0"/>
    <xf numFmtId="0" fontId="0" fillId="0" borderId="39" pivotButton="0" quotePrefix="0" xfId="0"/>
    <xf numFmtId="164" fontId="1" fillId="3" borderId="1" applyAlignment="1" pivotButton="0" quotePrefix="0" xfId="0">
      <alignment horizontal="left"/>
    </xf>
    <xf numFmtId="164" fontId="1" fillId="3" borderId="1" applyAlignment="1" pivotButton="0" quotePrefix="0" xfId="0">
      <alignment horizontal="center" vertical="center"/>
    </xf>
    <xf numFmtId="164" fontId="1" fillId="0" borderId="1" applyAlignment="1" pivotButton="0" quotePrefix="0" xfId="0">
      <alignment horizontal="center" vertical="center"/>
    </xf>
    <xf numFmtId="164" fontId="1" fillId="3" borderId="1" applyAlignment="1" pivotButton="0" quotePrefix="0" xfId="0">
      <alignment horizontal="center" vertical="top" wrapText="1"/>
    </xf>
    <xf numFmtId="164" fontId="1" fillId="0" borderId="1" applyAlignment="1" pivotButton="0" quotePrefix="0" xfId="0">
      <alignment horizontal="center" vertical="top" wrapText="1"/>
    </xf>
    <xf numFmtId="164" fontId="5" fillId="3" borderId="1" applyAlignment="1" pivotButton="0" quotePrefix="0" xfId="0">
      <alignment horizontal="center" vertical="center"/>
    </xf>
    <xf numFmtId="164" fontId="5" fillId="3" borderId="1" applyAlignment="1" pivotButton="0" quotePrefix="0" xfId="0">
      <alignment horizontal="center" vertical="top" wrapText="1"/>
    </xf>
    <xf numFmtId="164" fontId="5" fillId="0" borderId="1" applyAlignment="1" pivotButton="0" quotePrefix="0" xfId="0">
      <alignment horizontal="center" vertical="top" wrapText="1"/>
    </xf>
    <xf numFmtId="0" fontId="0" fillId="0" borderId="3" pivotButton="0" quotePrefix="0" xfId="0"/>
    <xf numFmtId="0" fontId="0" fillId="0" borderId="4" pivotButton="0" quotePrefix="0" xfId="0"/>
    <xf numFmtId="164" fontId="5" fillId="0" borderId="1" applyAlignment="1" pivotButton="0" quotePrefix="0" xfId="0">
      <alignment horizontal="center" vertical="center"/>
    </xf>
    <xf numFmtId="164" fontId="1" fillId="3" borderId="1" applyAlignment="1" pivotButton="0" quotePrefix="0" xfId="0">
      <alignment horizontal="left" vertical="center"/>
    </xf>
    <xf numFmtId="164" fontId="1" fillId="3" borderId="1" applyAlignment="1" pivotButton="0" quotePrefix="0" xfId="0">
      <alignment horizontal="center" vertical="center" wrapText="1"/>
    </xf>
    <xf numFmtId="164" fontId="1" fillId="0" borderId="1" applyAlignment="1" pivotButton="0" quotePrefix="0" xfId="0">
      <alignment horizontal="center" vertical="center" wrapText="1"/>
    </xf>
    <xf numFmtId="164" fontId="5"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44" fillId="50" borderId="59" applyAlignment="1" pivotButton="0" quotePrefix="0" xfId="0">
      <alignment horizontal="center" vertical="center" wrapText="1"/>
    </xf>
    <xf numFmtId="0" fontId="45" fillId="51" borderId="59" applyAlignment="1" pivotButton="0" quotePrefix="0" xfId="0">
      <alignment horizontal="left" vertical="center" wrapText="1"/>
    </xf>
    <xf numFmtId="0" fontId="46" fillId="52" borderId="59" applyAlignment="1" pivotButton="0" quotePrefix="0" xfId="0">
      <alignment horizontal="center"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autopost.tnicorporation.com/" TargetMode="External" Id="rId1"/></Relationships>
</file>

<file path=xl/worksheets/sheet1.xml><?xml version="1.0" encoding="utf-8"?>
<worksheet xmlns="http://schemas.openxmlformats.org/spreadsheetml/2006/main">
  <sheetPr>
    <outlinePr summaryBelow="1" summaryRight="1"/>
    <pageSetUpPr/>
  </sheetPr>
  <dimension ref="A1:G40"/>
  <sheetViews>
    <sheetView workbookViewId="0">
      <selection activeCell="B2" sqref="B2:G2"/>
    </sheetView>
  </sheetViews>
  <sheetFormatPr baseColWidth="8" defaultColWidth="9" defaultRowHeight="14.4"/>
  <cols>
    <col width="3" customWidth="1" min="1" max="1"/>
    <col width="6" customWidth="1" min="2" max="2"/>
    <col width="34" customWidth="1" min="3" max="4"/>
    <col width="58.8571428571429" customWidth="1" min="5" max="5"/>
    <col width="16" customWidth="1" min="6" max="6"/>
    <col width="24" customWidth="1" min="7" max="7"/>
  </cols>
  <sheetData>
    <row r="1" ht="17.6" customHeight="1">
      <c r="A1" s="2" t="n"/>
      <c r="B1" s="2" t="n"/>
      <c r="C1" s="2" t="n"/>
      <c r="D1" s="2" t="n"/>
      <c r="E1" s="2" t="n"/>
      <c r="F1" s="2" t="n"/>
      <c r="G1" s="2" t="n"/>
    </row>
    <row r="2" ht="30" customHeight="1">
      <c r="A2" s="2" t="n"/>
      <c r="B2" s="140" t="inlineStr">
        <is>
          <t>KING CONTENT - TỔNG QUAN TÀI LIỆU KIỂM THỬ TÍCH HỢP (INTEGRATION TEST OVERVIEW)</t>
        </is>
      </c>
    </row>
    <row r="3" ht="20.1" customHeight="1">
      <c r="A3" s="2" t="n"/>
      <c r="B3" s="141" t="inlineStr">
        <is>
          <t>Hệ thống Quản lý &amp; Phát triển Nội dung Mạng xã hội Đa kênh | Kịch bản Kiểm thử Hệ thống (System Test Specification)</t>
        </is>
      </c>
    </row>
    <row r="4" ht="17.6" customHeight="1">
      <c r="A4" s="2" t="n"/>
      <c r="B4" s="2" t="n"/>
      <c r="C4" s="2" t="n"/>
      <c r="D4" s="2" t="n"/>
      <c r="E4" s="2" t="n"/>
      <c r="F4" s="2" t="n"/>
      <c r="G4" s="2" t="n"/>
    </row>
    <row r="5" ht="24" customHeight="1">
      <c r="A5" s="2" t="n"/>
      <c r="B5" s="142" t="inlineStr">
        <is>
          <t>1. THÔNG TIN DỰ ÁN &amp; MÔI TRƯỜNG THỰC THI (PROJECT &amp; ENVIRONMENT METADATA)</t>
        </is>
      </c>
    </row>
    <row r="6" ht="21.95" customHeight="1">
      <c r="A6" s="2" t="n"/>
      <c r="B6" s="143" t="inlineStr">
        <is>
          <t>STT</t>
        </is>
      </c>
      <c r="C6" s="144" t="inlineStr">
        <is>
          <t>Thông tin thuộc tính</t>
        </is>
      </c>
      <c r="D6" s="144" t="inlineStr">
        <is>
          <t>Giá trị cấu hình</t>
        </is>
      </c>
      <c r="E6" s="144" t="inlineStr">
        <is>
          <t>Mô tả chi tiết / Ghi chú kỹ thuật</t>
        </is>
      </c>
      <c r="F6" s="143" t="inlineStr">
        <is>
          <t>Môi trường</t>
        </is>
      </c>
      <c r="G6" s="143" t="n"/>
    </row>
    <row r="7" ht="20.1" customHeight="1">
      <c r="A7" s="2" t="n"/>
      <c r="B7" s="145" t="n">
        <v>1</v>
      </c>
      <c r="C7" s="146" t="inlineStr">
        <is>
          <t>Tên hệ thống</t>
        </is>
      </c>
      <c r="D7" s="146" t="inlineStr">
        <is>
          <t>KINGCONTENT</t>
        </is>
      </c>
      <c r="E7" s="147" t="inlineStr">
        <is>
          <t>Nền tảng quản lý, lập lịch và xuất bản nội dung đa nền tảng mạng xã hội</t>
        </is>
      </c>
      <c r="F7" s="145" t="inlineStr">
        <is>
          <t>Toàn hệ thống</t>
        </is>
      </c>
      <c r="G7" s="145" t="n"/>
    </row>
    <row r="8" ht="20.1" customHeight="1">
      <c r="A8" s="2" t="n"/>
      <c r="B8" s="148" t="n">
        <v>2</v>
      </c>
      <c r="C8" s="149" t="inlineStr">
        <is>
          <t>Phiên bản tài liệu</t>
        </is>
      </c>
      <c r="D8" s="149" t="inlineStr">
        <is>
          <t>V1.0 - Tiếng Việt</t>
        </is>
      </c>
      <c r="E8" s="150" t="inlineStr">
        <is>
          <t>Bộ kịch bản kiểm thử tích hợp chính thức cho 9 phân hệ cốt lõi</t>
        </is>
      </c>
      <c r="F8" s="148" t="inlineStr">
        <is>
          <t>Staging / Prod</t>
        </is>
      </c>
      <c r="G8" s="148" t="n"/>
    </row>
    <row r="9" ht="20.1" customHeight="1">
      <c r="A9" s="2" t="n"/>
      <c r="B9" s="145" t="n">
        <v>3</v>
      </c>
      <c r="C9" s="146" t="inlineStr">
        <is>
          <t>Ngày cập nhật</t>
        </is>
      </c>
      <c r="D9" s="146" t="inlineStr">
        <is>
          <t>2026-09-14</t>
        </is>
      </c>
      <c r="E9" s="147" t="inlineStr">
        <is>
          <t>Tài liệu được chuẩn hóa 100% tiếng Việt theo kiến trúc nghiệp vụ thực tế</t>
        </is>
      </c>
      <c r="F9" s="145" t="inlineStr">
        <is>
          <t>Mới nhất</t>
        </is>
      </c>
      <c r="G9" s="145" t="n"/>
    </row>
    <row r="10" ht="20.1" customHeight="1">
      <c r="A10" s="2" t="n"/>
      <c r="B10" s="148" t="n">
        <v>4</v>
      </c>
      <c r="C10" s="149" t="inlineStr">
        <is>
          <t>Kiến trúc &amp; Công nghệ</t>
        </is>
      </c>
      <c r="D10" s="149" t="inlineStr">
        <is>
          <t>Laravel 12 + Vue 3 (Inertia v2)</t>
        </is>
      </c>
      <c r="E10" s="150" t="inlineStr">
        <is>
          <t>PHP 8.4, Tailwind CSS v4, Keycloak SSO, Reverb Realtime WebSocket</t>
        </is>
      </c>
      <c r="F10" s="148" t="inlineStr">
        <is>
          <t>Web App / API</t>
        </is>
      </c>
      <c r="G10" s="148" t="n"/>
    </row>
    <row r="11" ht="20.1" customHeight="1">
      <c r="A11" s="2" t="n"/>
      <c r="B11" s="145" t="n">
        <v>5</v>
      </c>
      <c r="C11" s="146" t="inlineStr">
        <is>
          <t>Phương pháp kiểm thử</t>
        </is>
      </c>
      <c r="D11" s="146" t="inlineStr">
        <is>
          <t>Integration &amp; Functional Test</t>
        </is>
      </c>
      <c r="E11" s="147" t="inlineStr">
        <is>
          <t>Kiểm thử tích hợp đa kênh, kiểm tra quyền hạn, xác thực &amp; luồng nghiệp vụ</t>
        </is>
      </c>
      <c r="F11" s="145" t="inlineStr">
        <is>
          <t>End-to-End</t>
        </is>
      </c>
      <c r="G11" s="145" t="n"/>
    </row>
    <row r="12" ht="20.1" customHeight="1">
      <c r="A12" s="2" t="n"/>
      <c r="B12" s="148" t="n">
        <v>6</v>
      </c>
      <c r="C12" s="149" t="inlineStr">
        <is>
          <t>URL Môi trường Test</t>
        </is>
      </c>
      <c r="D12" s="151" t="inlineStr">
        <is>
          <t>https://autopost.tnicorporation.com/</t>
        </is>
      </c>
      <c r="E12" s="150" t="inlineStr">
        <is>
          <t>Môi trường kiểm thử nội bộ tích hợp đầy đủ Social Mock &amp; Keycloak SSO</t>
        </is>
      </c>
      <c r="F12" s="148" t="inlineStr">
        <is>
          <t>Local / Staging</t>
        </is>
      </c>
      <c r="G12" s="148" t="n"/>
    </row>
    <row r="13" ht="17.6" customHeight="1">
      <c r="A13" s="2" t="n"/>
      <c r="B13" s="2" t="n"/>
      <c r="C13" s="2" t="n"/>
      <c r="D13" s="2" t="n"/>
      <c r="E13" s="2" t="n"/>
      <c r="F13" s="2" t="n"/>
      <c r="G13" s="2" t="n"/>
    </row>
    <row r="14" ht="24" customHeight="1">
      <c r="A14" s="2" t="n"/>
      <c r="B14" s="142" t="inlineStr">
        <is>
          <t>2. QUY ĐỊNH &amp; Ý NGHĨA TRẠNG THÁI KIỂM THỬ (TEST STATUS LEGEND)</t>
        </is>
      </c>
    </row>
    <row r="15" ht="21.95" customHeight="1">
      <c r="A15" s="2" t="n"/>
      <c r="B15" s="143" t="inlineStr">
        <is>
          <t>Mã</t>
        </is>
      </c>
      <c r="C15" s="143" t="inlineStr">
        <is>
          <t>Tên trạng thái</t>
        </is>
      </c>
      <c r="D15" s="143" t="inlineStr">
        <is>
          <t>Hiển thị mẫu</t>
        </is>
      </c>
      <c r="E15" s="144" t="inlineStr">
        <is>
          <t>Định nghĩa &amp; Ý nghĩa nghiệp vụ</t>
        </is>
      </c>
      <c r="F15" s="144" t="inlineStr">
        <is>
          <t>Hành động tiếp theo</t>
        </is>
      </c>
      <c r="G15" s="143" t="inlineStr">
        <is>
          <t>Mức độ ưu tiên</t>
        </is>
      </c>
    </row>
    <row r="16" ht="20.1" customHeight="1">
      <c r="A16" s="2" t="n"/>
      <c r="B16" s="152" t="inlineStr">
        <is>
          <t>OK</t>
        </is>
      </c>
      <c r="C16" s="145" t="inlineStr">
        <is>
          <t>Đạt (Passed)</t>
        </is>
      </c>
      <c r="D16" s="153" t="inlineStr">
        <is>
          <t>OK</t>
        </is>
      </c>
      <c r="E16" s="147" t="inlineStr">
        <is>
          <t>Tính năng hoạt động chính xác 100% theo kịch bản và kết quả mong đợi</t>
        </is>
      </c>
      <c r="F16" s="147" t="inlineStr">
        <is>
          <t>Đóng test case, chuyển sang ca tiếp theo</t>
        </is>
      </c>
      <c r="G16" s="145" t="inlineStr">
        <is>
          <t>Hoàn thành</t>
        </is>
      </c>
    </row>
    <row r="17" ht="20.1" customHeight="1">
      <c r="A17" s="2" t="n"/>
      <c r="B17" s="152" t="inlineStr">
        <is>
          <t>NG</t>
        </is>
      </c>
      <c r="C17" s="145" t="inlineStr">
        <is>
          <t>Lỗi (Failed)</t>
        </is>
      </c>
      <c r="D17" s="154" t="inlineStr">
        <is>
          <t>NG</t>
        </is>
      </c>
      <c r="E17" s="147" t="inlineStr">
        <is>
          <t>Phát hiện lỗi tính năng, sai logic, lỗi giao diện hoặc phản hồi sai</t>
        </is>
      </c>
      <c r="F17" s="147" t="inlineStr">
        <is>
          <t>Log Bug ID (cột M), gán Dev xử lý gấp</t>
        </is>
      </c>
      <c r="G17" s="145" t="inlineStr">
        <is>
          <t>Rất cao (P1/P2)</t>
        </is>
      </c>
    </row>
    <row r="18" ht="20.1" customHeight="1">
      <c r="A18" s="2" t="n"/>
      <c r="B18" s="152" t="inlineStr">
        <is>
          <t>N</t>
        </is>
      </c>
      <c r="C18" s="145" t="inlineStr">
        <is>
          <t>Chưa làm (Not Started)</t>
        </is>
      </c>
      <c r="D18" s="155" t="inlineStr">
        <is>
          <t>N</t>
        </is>
      </c>
      <c r="E18" s="147" t="inlineStr">
        <is>
          <t>Ca kiểm thử chưa được tiến hành trong vòng kiểm thử hiện tại</t>
        </is>
      </c>
      <c r="F18" s="147" t="inlineStr">
        <is>
          <t>Tester chuẩn bị môi trường và thực thi</t>
        </is>
      </c>
      <c r="G18" s="145" t="inlineStr">
        <is>
          <t>Bình thường (P3)</t>
        </is>
      </c>
    </row>
    <row r="19" ht="20.1" customHeight="1">
      <c r="A19" s="2" t="n"/>
      <c r="B19" s="152" t="inlineStr">
        <is>
          <t>P</t>
        </is>
      </c>
      <c r="C19" s="145" t="inlineStr">
        <is>
          <t>Tạm hoãn (Pending)</t>
        </is>
      </c>
      <c r="D19" s="156" t="inlineStr">
        <is>
          <t>P</t>
        </is>
      </c>
      <c r="E19" s="147" t="inlineStr">
        <is>
          <t>Bị chặn bởi lỗi nghiêm trọng từ module khác hoặc phụ thuộc bên thứ 3</t>
        </is>
      </c>
      <c r="F19" s="147" t="inlineStr">
        <is>
          <t>Chờ khắc phục blocker hoặc cấp credential</t>
        </is>
      </c>
      <c r="G19" s="145" t="inlineStr">
        <is>
          <t>Cao (P2)</t>
        </is>
      </c>
    </row>
    <row r="20" ht="20.1" customHeight="1">
      <c r="A20" s="2" t="n"/>
      <c r="B20" s="152" t="inlineStr">
        <is>
          <t>X</t>
        </is>
      </c>
      <c r="C20" s="145" t="inlineStr">
        <is>
          <t>Bỏ qua (Not Applicable)</t>
        </is>
      </c>
      <c r="D20" s="157" t="inlineStr">
        <is>
          <t>X / NA</t>
        </is>
      </c>
      <c r="E20" s="147" t="inlineStr">
        <is>
          <t>Tính năng được miễn hoặc không áp dụng trong môi trường hiện tại</t>
        </is>
      </c>
      <c r="F20" s="147" t="inlineStr">
        <is>
          <t>Bỏ qua, không tính vào tỷ lệ lỗi</t>
        </is>
      </c>
      <c r="G20" s="145" t="inlineStr">
        <is>
          <t>Thấp (P4)</t>
        </is>
      </c>
    </row>
    <row r="21" ht="17.6" customHeight="1">
      <c r="A21" s="2" t="n"/>
      <c r="B21" s="2" t="n"/>
      <c r="C21" s="2" t="n"/>
      <c r="D21" s="2" t="n"/>
      <c r="E21" s="2" t="n"/>
      <c r="F21" s="2" t="n"/>
      <c r="G21" s="2" t="n"/>
    </row>
    <row r="22" ht="24" customHeight="1">
      <c r="A22" s="2" t="n"/>
      <c r="B22" s="142" t="inlineStr">
        <is>
          <t>3. DANH MỤC 9 PHÂN HỆ KIỂM THỬ THỰC TẾ (TEST MODULES DIRECTORY)</t>
        </is>
      </c>
    </row>
    <row r="23" ht="21.95" customHeight="1">
      <c r="A23" s="2" t="n"/>
      <c r="B23" s="143" t="inlineStr">
        <is>
          <t>STT</t>
        </is>
      </c>
      <c r="C23" s="144" t="inlineStr">
        <is>
          <t>Tên Phân Hệ / Module</t>
        </is>
      </c>
      <c r="D23" s="143" t="inlineStr">
        <is>
          <t>Mã Sheet</t>
        </is>
      </c>
      <c r="E23" s="144" t="inlineStr">
        <is>
          <t>Phạm vi chức năng &amp; Luồng nghiệp vụ chính</t>
        </is>
      </c>
      <c r="F23" s="143" t="inlineStr">
        <is>
          <t>Số lượng TC</t>
        </is>
      </c>
      <c r="G23" s="143" t="inlineStr">
        <is>
          <t>Trạng thái Module</t>
        </is>
      </c>
    </row>
    <row r="24" ht="20.1" customHeight="1">
      <c r="A24" s="2" t="n"/>
      <c r="B24" s="145" t="n">
        <v>1</v>
      </c>
      <c r="C24" s="146" t="inlineStr">
        <is>
          <t>1. Xác thực &amp; Quản lý Không gian làm việc (Auth &amp; Workspace)</t>
        </is>
      </c>
      <c r="D24" s="152" t="inlineStr">
        <is>
          <t>TC-Auth-Workspace</t>
        </is>
      </c>
      <c r="E24" s="147" t="inlineStr">
        <is>
          <t>Xác thực SSO Keycloak, King Collab Realm, Mã mời /join, Thư mời /invites, 2FA, Phân quyền &amp; Switch Workspace</t>
        </is>
      </c>
      <c r="F24" s="145" t="inlineStr">
        <is>
          <t>36 TC</t>
        </is>
      </c>
      <c r="G24" s="145" t="inlineStr">
        <is>
          <t>100% Hoàn tất</t>
        </is>
      </c>
    </row>
    <row r="25" ht="20.1" customHeight="1">
      <c r="A25" s="2" t="n"/>
      <c r="B25" s="148" t="n">
        <v>2</v>
      </c>
      <c r="C25" s="149" t="inlineStr">
        <is>
          <t>2. Quản lý Kênh Mạng Xã Hội &amp; Kết nối Đa Nền Tảng (Social Accounts)</t>
        </is>
      </c>
      <c r="D25" s="158" t="inlineStr">
        <is>
          <t>TC-Social-Accounts</t>
        </is>
      </c>
      <c r="E25" s="150" t="inlineStr">
        <is>
          <t>Kết nối OAuth 12 MXH (Facebook, Instagram, Threads, TikTok, YouTube, X, LinkedIn, Pinterest, Bluesky, Mastodon, Telegram, Discord)</t>
        </is>
      </c>
      <c r="F25" s="148" t="inlineStr">
        <is>
          <t>11 TC</t>
        </is>
      </c>
      <c r="G25" s="148" t="inlineStr">
        <is>
          <t>100% Hoàn tất</t>
        </is>
      </c>
    </row>
    <row r="26" ht="20.1" customHeight="1">
      <c r="A26" s="2" t="n"/>
      <c r="B26" s="145" t="n">
        <v>3</v>
      </c>
      <c r="C26" s="146" t="inlineStr">
        <is>
          <t>3. Trình Soạn Thảo &amp; Xuất Bản Bài Viết Đa Kênh (Post Composer)</t>
        </is>
      </c>
      <c r="D26" s="152" t="inlineStr">
        <is>
          <t>TC-Post-Composer</t>
        </is>
      </c>
      <c r="E26" s="147" t="inlineStr">
        <is>
          <t>Soạn thảo đa phương tiện, Tùy biến từng kênh (Customizer), Đăng ngay, Lên lịch, Gắn First Comment &amp; Tag</t>
        </is>
      </c>
      <c r="F26" s="145" t="inlineStr">
        <is>
          <t>16 TC</t>
        </is>
      </c>
      <c r="G26" s="145" t="inlineStr">
        <is>
          <t>100% Hoàn tất</t>
        </is>
      </c>
    </row>
    <row r="27" ht="20.1" customHeight="1">
      <c r="A27" s="2" t="n"/>
      <c r="B27" s="148" t="n">
        <v>4</v>
      </c>
      <c r="C27" s="149" t="inlineStr">
        <is>
          <t>4. Luồng Kiểm Duyệt Bài Viết &amp; Phân Quyền Phê Duyệt (Content Workflows)</t>
        </is>
      </c>
      <c r="D27" s="158" t="inlineStr">
        <is>
          <t>TC-Content-Workflows</t>
        </is>
      </c>
      <c r="E27" s="150" t="inlineStr">
        <is>
          <t>Quy trình kiểm duyệt bài viết đa cấp, Gửi duyệt, Phê duyệt, Từ chối kèm lý do, Tự động chuyển lịch biểu</t>
        </is>
      </c>
      <c r="F27" s="148" t="inlineStr">
        <is>
          <t>11 TC</t>
        </is>
      </c>
      <c r="G27" s="148" t="inlineStr">
        <is>
          <t>100% Hoàn tất</t>
        </is>
      </c>
    </row>
    <row r="28" ht="20.1" customHeight="1">
      <c r="A28" s="2" t="n"/>
      <c r="B28" s="145" t="n">
        <v>5</v>
      </c>
      <c r="C28" s="146" t="inlineStr">
        <is>
          <t>5. AI Studio, Nhân Bản &amp; Sáng Tạo Đa Phương Tiện (AI &amp; Clone)</t>
        </is>
      </c>
      <c r="D28" s="152" t="inlineStr">
        <is>
          <t>TC-AI-Studio-Clone</t>
        </is>
      </c>
      <c r="E28" s="147" t="inlineStr">
        <is>
          <t>AI Studio tạo Content, Tối ưu caption, Gợi ý Hashtags thông minh, Clone Tone of Voice thương hiệu</t>
        </is>
      </c>
      <c r="F28" s="145" t="inlineStr">
        <is>
          <t>9 TC</t>
        </is>
      </c>
      <c r="G28" s="145" t="inlineStr">
        <is>
          <t>100% Hoàn tất</t>
        </is>
      </c>
    </row>
    <row r="29" ht="20.1" customHeight="1">
      <c r="A29" s="2" t="n"/>
      <c r="B29" s="148" t="n">
        <v>6</v>
      </c>
      <c r="C29" s="149" t="inlineStr">
        <is>
          <t>6. Lịch Biểu Nội Dung &amp; Lập Lịch Trực Quan (Content Calendar)</t>
        </is>
      </c>
      <c r="D29" s="158" t="inlineStr">
        <is>
          <t>TC-Content-Calendar</t>
        </is>
      </c>
      <c r="E29" s="150" t="inlineStr">
        <is>
          <t>Lịch biểu trực quan Tháng/Tuần/Ngày, Kéo thả (Drag &amp; Drop) dời lịch, Lọc bài viết theo kênh &amp; trạng thái</t>
        </is>
      </c>
      <c r="F29" s="148" t="inlineStr">
        <is>
          <t>8 TC</t>
        </is>
      </c>
      <c r="G29" s="148" t="inlineStr">
        <is>
          <t>100% Hoàn tất</t>
        </is>
      </c>
    </row>
    <row r="30" ht="20.1" customHeight="1">
      <c r="A30" s="2" t="n"/>
      <c r="B30" s="145" t="n">
        <v>7</v>
      </c>
      <c r="C30" s="146" t="inlineStr">
        <is>
          <t>7. Kho Media &amp; Thư Viện Tài Nguyên Thương Hiệu (Media Library)</t>
        </is>
      </c>
      <c r="D30" s="152" t="inlineStr">
        <is>
          <t>TC-Media-Library</t>
        </is>
      </c>
      <c r="E30" s="147" t="inlineStr">
        <is>
          <t>Kho Media tập trung, Phân loại nhãn (Tag), Tải lên hình ảnh/video, Tìm kiếm và chèn vào bài viết</t>
        </is>
      </c>
      <c r="F30" s="145" t="inlineStr">
        <is>
          <t>4 TC</t>
        </is>
      </c>
      <c r="G30" s="145" t="inlineStr">
        <is>
          <t>100% Hoàn tất</t>
        </is>
      </c>
    </row>
    <row r="31" ht="20.1" customHeight="1">
      <c r="A31" s="2" t="n"/>
      <c r="B31" s="148" t="n">
        <v>8</v>
      </c>
      <c r="C31" s="149" t="inlineStr">
        <is>
          <t>8. Hộp Thư Đa Kênh Omnichat, CSKH &amp; CRM Tự Động (Omnichat &amp; CRM)</t>
        </is>
      </c>
      <c r="D31" s="158" t="inlineStr">
        <is>
          <t>TC-Omnichat-CRM</t>
        </is>
      </c>
      <c r="E31" s="150" t="inlineStr">
        <is>
          <t>Hộp thư đa kênh Omnichat, Chat Realtime (Reverb/Echo), Gắn tag &amp; Phân công CSKH, Quản lý thông tin khách hàng</t>
        </is>
      </c>
      <c r="F31" s="148" t="inlineStr">
        <is>
          <t>12 TC</t>
        </is>
      </c>
      <c r="G31" s="148" t="inlineStr">
        <is>
          <t>100% Hoàn tất</t>
        </is>
      </c>
    </row>
    <row r="32" ht="20.1" customHeight="1">
      <c r="A32" s="2" t="n"/>
      <c r="B32" s="145" t="n">
        <v>9</v>
      </c>
      <c r="C32" s="146" t="inlineStr">
        <is>
          <t>9. Báo Cáo Thống Kê &amp; Phân Tích Hiệu Suất (Analytics &amp; Reports)</t>
        </is>
      </c>
      <c r="D32" s="152" t="inlineStr">
        <is>
          <t>TC-Analytics-Reports</t>
        </is>
      </c>
      <c r="E32" s="147" t="inlineStr">
        <is>
          <t>Báo cáo thống kê hiệu suất bài đăng, Tương tác kênh, Tăng trưởng Follower &amp; Xuất file báo cáo</t>
        </is>
      </c>
      <c r="F32" s="145" t="inlineStr">
        <is>
          <t>5 TC</t>
        </is>
      </c>
      <c r="G32" s="145" t="inlineStr">
        <is>
          <t>100% Hoàn tất</t>
        </is>
      </c>
    </row>
    <row r="33" ht="21.95" customHeight="1">
      <c r="A33" s="2" t="n"/>
      <c r="B33" s="159" t="n"/>
      <c r="C33" s="143" t="inlineStr">
        <is>
          <t>TỔNG CỘNG TOÀN BỘ HỆ THỐNG (9 MODULES)</t>
        </is>
      </c>
      <c r="D33" s="161" t="n"/>
      <c r="E33" s="160" t="inlineStr">
        <is>
          <t>Bao phủ toàn diện luồng nghiệp vụ &amp; phân quyền</t>
        </is>
      </c>
      <c r="F33" s="143" t="inlineStr">
        <is>
          <t>112 TC</t>
        </is>
      </c>
      <c r="G33" s="143" t="inlineStr">
        <is>
          <t>100% Hoàn tất</t>
        </is>
      </c>
    </row>
    <row r="34" ht="17.6" customHeight="1">
      <c r="A34" s="2" t="n"/>
      <c r="B34" s="2" t="n"/>
      <c r="C34" s="2" t="n"/>
      <c r="D34" s="2" t="n"/>
      <c r="E34" s="2" t="n"/>
      <c r="F34" s="2" t="n"/>
      <c r="G34" s="2" t="n"/>
    </row>
    <row r="35" ht="24" customHeight="1">
      <c r="A35" s="2" t="n"/>
      <c r="B35" s="142" t="inlineStr">
        <is>
          <t>4. NGUYÊN TẮC THỰC HIỆN KIỂM THỬ &amp; TIÊU CHÍ BÀN GIAO (QA CRITERIA &amp; SIGN-OFF)</t>
        </is>
      </c>
    </row>
    <row r="36" ht="21.95" customHeight="1">
      <c r="A36" s="2" t="n"/>
      <c r="B36" s="143" t="inlineStr">
        <is>
          <t>STT</t>
        </is>
      </c>
      <c r="C36" s="143" t="inlineStr">
        <is>
          <t>Quy chuẩn</t>
        </is>
      </c>
      <c r="D36" s="143" t="inlineStr">
        <is>
          <t>Yêu cầu</t>
        </is>
      </c>
      <c r="E36" s="144" t="inlineStr">
        <is>
          <t>Hướng dẫn chi tiết cho Tester &amp; Developer</t>
        </is>
      </c>
      <c r="F36" s="143" t="inlineStr">
        <is>
          <t>Tiêu chí Pass</t>
        </is>
      </c>
      <c r="G36" s="143" t="inlineStr">
        <is>
          <t>Ghi chú bắt buộc</t>
        </is>
      </c>
    </row>
    <row r="37" ht="20.1" customHeight="1">
      <c r="A37" s="2" t="n"/>
      <c r="B37" s="145" t="n">
        <v>1</v>
      </c>
      <c r="C37" s="152" t="inlineStr">
        <is>
          <t>Ghi nhận kết quả</t>
        </is>
      </c>
      <c r="D37" s="152" t="inlineStr">
        <is>
          <t>Bắt buộc 100%</t>
        </is>
      </c>
      <c r="E37" s="147" t="inlineStr">
        <is>
          <t>Cập nhật cột Trạng thái (G/J), Tên Tester (H/K) và Ngày test (I/L) cho từng ca kiểm thử</t>
        </is>
      </c>
      <c r="F37" s="145" t="inlineStr">
        <is>
          <t>Đầy đủ dữ liệu</t>
        </is>
      </c>
      <c r="G37" s="145" t="inlineStr">
        <is>
          <t>Không để trống</t>
        </is>
      </c>
    </row>
    <row r="38" ht="20.1" customHeight="1">
      <c r="A38" s="2" t="n"/>
      <c r="B38" s="148" t="n">
        <v>2</v>
      </c>
      <c r="C38" s="158" t="inlineStr">
        <is>
          <t>Quản lý Bug (Defects)</t>
        </is>
      </c>
      <c r="D38" s="158" t="inlineStr">
        <is>
          <t>Bắt buộc khi NG</t>
        </is>
      </c>
      <c r="E38" s="150" t="inlineStr">
        <is>
          <t>Ghi rõ Bug ID (cột M) hoặc link Issue kèm ảnh/video và các bước tái hiện</t>
        </is>
      </c>
      <c r="F38" s="148" t="inlineStr">
        <is>
          <t>Dev tái hiện được</t>
        </is>
      </c>
      <c r="G38" s="148" t="inlineStr">
        <is>
          <t>Kèm log/network nếu có</t>
        </is>
      </c>
    </row>
    <row r="39" ht="20.1" customHeight="1">
      <c r="A39" s="2" t="n"/>
      <c r="B39" s="145" t="n">
        <v>3</v>
      </c>
      <c r="C39" s="152" t="inlineStr">
        <is>
          <t>Kiểm thử lại (Retest)</t>
        </is>
      </c>
      <c r="D39" s="152" t="inlineStr">
        <is>
          <t>Vòng 2 (Round 2)</t>
        </is>
      </c>
      <c r="E39" s="147" t="inlineStr">
        <is>
          <t>Sau khi Dev báo đã fix, Tester kiểm tra lại trên cột Vòng 2 (J, K, L)</t>
        </is>
      </c>
      <c r="F39" s="145" t="inlineStr">
        <is>
          <t>Đạt OK vòng 2</t>
        </is>
      </c>
      <c r="G39" s="145" t="inlineStr">
        <is>
          <t>Verify fix triệt để</t>
        </is>
      </c>
    </row>
    <row r="40" ht="20.1" customHeight="1">
      <c r="A40" s="2" t="n"/>
      <c r="B40" s="148" t="n">
        <v>4</v>
      </c>
      <c r="C40" s="158" t="inlineStr">
        <is>
          <t>Tiêu chí bàn giao</t>
        </is>
      </c>
      <c r="D40" s="158" t="inlineStr">
        <is>
          <t>Sign-off Release</t>
        </is>
      </c>
      <c r="E40" s="150" t="inlineStr">
        <is>
          <t>100% Test Case Critical Path đạt OK; Tỷ lệ Pass toàn hệ thống &gt;= 98%, không còn blocker P1/P2</t>
        </is>
      </c>
      <c r="F40" s="148" t="inlineStr">
        <is>
          <t>Sẵn sàng Release</t>
        </is>
      </c>
      <c r="G40" s="148" t="inlineStr">
        <is>
          <t>PM/PO phê duyệt</t>
        </is>
      </c>
    </row>
  </sheetData>
  <mergeCells count="7">
    <mergeCell ref="B3:G3"/>
    <mergeCell ref="B2:G2"/>
    <mergeCell ref="B5:G5"/>
    <mergeCell ref="B14:G14"/>
    <mergeCell ref="B22:G22"/>
    <mergeCell ref="C33:D33"/>
    <mergeCell ref="B35:G35"/>
  </mergeCells>
  <hyperlinks>
    <hyperlink xmlns:r="http://schemas.openxmlformats.org/officeDocument/2006/relationships" ref="D12" display="https://autopost.tnicorporation.com/"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20"/>
  <sheetViews>
    <sheetView showGridLines="0" view="pageBreakPreview" zoomScaleNormal="100" workbookViewId="0">
      <selection activeCell="I5" sqref="I5:W5"/>
    </sheetView>
  </sheetViews>
  <sheetFormatPr baseColWidth="8" defaultColWidth="12.5714285714286" defaultRowHeight="15" customHeight="1"/>
  <cols>
    <col width="4.71428571428571" customWidth="1" min="1" max="26"/>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75" customHeight="1">
      <c r="A2" s="1" t="n"/>
      <c r="B2" s="106" t="inlineStr">
        <is>
          <t>LỊCH SỬ THAY ĐỔI TÀI LIỆU</t>
        </is>
      </c>
      <c r="C2" s="162" t="n"/>
      <c r="D2" s="162" t="n"/>
      <c r="E2" s="162" t="n"/>
      <c r="F2" s="162" t="n"/>
      <c r="G2" s="162" t="n"/>
      <c r="H2" s="162" t="n"/>
      <c r="I2" s="162" t="n"/>
      <c r="J2" s="162" t="n"/>
      <c r="K2" s="162" t="n"/>
      <c r="L2" s="162" t="n"/>
      <c r="M2" s="162" t="n"/>
      <c r="N2" s="162" t="n"/>
      <c r="O2" s="162" t="n"/>
      <c r="P2" s="162" t="n"/>
      <c r="Q2" s="162" t="n"/>
      <c r="R2" s="162" t="n"/>
      <c r="S2" s="162" t="n"/>
      <c r="T2" s="162" t="n"/>
      <c r="U2" s="162" t="n"/>
      <c r="V2" s="162" t="n"/>
      <c r="W2" s="162" t="n"/>
      <c r="X2" s="162" t="n"/>
      <c r="Y2" s="163" t="n"/>
      <c r="Z2" s="1" t="n"/>
    </row>
    <row r="3" ht="15.75" customHeight="1">
      <c r="A3" s="1"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1" t="n"/>
    </row>
    <row r="4" ht="15.75" customHeight="1">
      <c r="A4" s="1" t="n"/>
      <c r="B4" s="107" t="inlineStr">
        <is>
          <t>STT</t>
        </is>
      </c>
      <c r="C4" s="108" t="inlineStr">
        <is>
          <t>Ngày thực hiện</t>
        </is>
      </c>
      <c r="D4" s="164" t="n"/>
      <c r="E4" s="165" t="n"/>
      <c r="F4" s="108" t="inlineStr">
        <is>
          <t>Hành động (A/M/D)</t>
        </is>
      </c>
      <c r="G4" s="164" t="n"/>
      <c r="H4" s="165" t="n"/>
      <c r="I4" s="108" t="inlineStr">
        <is>
          <t>Mô tả nội dung thay đổi</t>
        </is>
      </c>
      <c r="J4" s="164" t="n"/>
      <c r="K4" s="164" t="n"/>
      <c r="L4" s="164" t="n"/>
      <c r="M4" s="164" t="n"/>
      <c r="N4" s="164" t="n"/>
      <c r="O4" s="164" t="n"/>
      <c r="P4" s="164" t="n"/>
      <c r="Q4" s="164" t="n"/>
      <c r="R4" s="164" t="n"/>
      <c r="S4" s="164" t="n"/>
      <c r="T4" s="164" t="n"/>
      <c r="U4" s="164" t="n"/>
      <c r="V4" s="164" t="n"/>
      <c r="W4" s="165" t="n"/>
      <c r="X4" s="111" t="inlineStr">
        <is>
          <t>Người thực hiện</t>
        </is>
      </c>
      <c r="Y4" s="166" t="n"/>
      <c r="Z4" s="1" t="n"/>
    </row>
    <row r="5" ht="15.75" customHeight="1">
      <c r="A5" s="1" t="n"/>
      <c r="B5" s="113" t="n">
        <v>1</v>
      </c>
      <c r="C5" s="167" t="n">
        <v>46279.55052987269</v>
      </c>
      <c r="D5" s="168" t="n"/>
      <c r="E5" s="169" t="n"/>
      <c r="F5" s="117" t="inlineStr">
        <is>
          <t>A</t>
        </is>
      </c>
      <c r="G5" s="168" t="n"/>
      <c r="H5" s="169" t="n"/>
      <c r="I5" s="118" t="inlineStr">
        <is>
          <t>Khởi tạo bộ Test Case tích hợp toàn diện 100% Tiếng Việt cho 9 Module trọng tâm của hệ thống King Hub Social</t>
        </is>
      </c>
      <c r="J5" s="168" t="n"/>
      <c r="K5" s="168" t="n"/>
      <c r="L5" s="168" t="n"/>
      <c r="M5" s="168" t="n"/>
      <c r="N5" s="168" t="n"/>
      <c r="O5" s="168" t="n"/>
      <c r="P5" s="168" t="n"/>
      <c r="Q5" s="168" t="n"/>
      <c r="R5" s="168" t="n"/>
      <c r="S5" s="168" t="n"/>
      <c r="T5" s="168" t="n"/>
      <c r="U5" s="168" t="n"/>
      <c r="V5" s="168" t="n"/>
      <c r="W5" s="169" t="n"/>
      <c r="X5" s="119" t="inlineStr">
        <is>
          <t>KingHub QA Team</t>
        </is>
      </c>
      <c r="Y5" s="170" t="n"/>
      <c r="Z5" s="1" t="n"/>
    </row>
    <row r="6" ht="15.75" customHeight="1">
      <c r="A6" s="1" t="n"/>
      <c r="B6" s="113" t="n"/>
      <c r="C6" s="167" t="n"/>
      <c r="D6" s="168" t="n"/>
      <c r="E6" s="169" t="n"/>
      <c r="F6" s="117" t="n"/>
      <c r="G6" s="168" t="n"/>
      <c r="H6" s="169" t="n"/>
      <c r="I6" s="118" t="n"/>
      <c r="J6" s="168" t="n"/>
      <c r="K6" s="168" t="n"/>
      <c r="L6" s="168" t="n"/>
      <c r="M6" s="168" t="n"/>
      <c r="N6" s="168" t="n"/>
      <c r="O6" s="168" t="n"/>
      <c r="P6" s="168" t="n"/>
      <c r="Q6" s="168" t="n"/>
      <c r="R6" s="168" t="n"/>
      <c r="S6" s="168" t="n"/>
      <c r="T6" s="168" t="n"/>
      <c r="U6" s="168" t="n"/>
      <c r="V6" s="168" t="n"/>
      <c r="W6" s="169" t="n"/>
      <c r="X6" s="119" t="n"/>
      <c r="Y6" s="170" t="n"/>
      <c r="Z6" s="1" t="n"/>
    </row>
    <row r="7" ht="15.75" customHeight="1">
      <c r="A7" s="1" t="n"/>
      <c r="B7" s="113" t="n"/>
      <c r="C7" s="167" t="n"/>
      <c r="D7" s="168" t="n"/>
      <c r="E7" s="169" t="n"/>
      <c r="F7" s="121" t="n"/>
      <c r="G7" s="171" t="n"/>
      <c r="H7" s="172" t="n"/>
      <c r="I7" s="124" t="n"/>
      <c r="J7" s="171" t="n"/>
      <c r="K7" s="171" t="n"/>
      <c r="L7" s="171" t="n"/>
      <c r="M7" s="171" t="n"/>
      <c r="N7" s="171" t="n"/>
      <c r="O7" s="171" t="n"/>
      <c r="P7" s="171" t="n"/>
      <c r="Q7" s="171" t="n"/>
      <c r="R7" s="171" t="n"/>
      <c r="S7" s="171" t="n"/>
      <c r="T7" s="171" t="n"/>
      <c r="U7" s="171" t="n"/>
      <c r="V7" s="171" t="n"/>
      <c r="W7" s="172" t="n"/>
      <c r="X7" s="119" t="n"/>
      <c r="Y7" s="170" t="n"/>
      <c r="Z7" s="1" t="n"/>
    </row>
    <row r="8" ht="15.75" customHeight="1">
      <c r="A8" s="1" t="n"/>
      <c r="B8" s="113" t="n"/>
      <c r="C8" s="173" t="n"/>
      <c r="D8" s="171" t="n"/>
      <c r="E8" s="172" t="n"/>
      <c r="F8" s="126" t="n"/>
      <c r="G8" s="171" t="n"/>
      <c r="H8" s="172" t="n"/>
      <c r="I8" s="126" t="n"/>
      <c r="J8" s="171" t="n"/>
      <c r="K8" s="171" t="n"/>
      <c r="L8" s="171" t="n"/>
      <c r="M8" s="171" t="n"/>
      <c r="N8" s="171" t="n"/>
      <c r="O8" s="171" t="n"/>
      <c r="P8" s="171" t="n"/>
      <c r="Q8" s="171" t="n"/>
      <c r="R8" s="171" t="n"/>
      <c r="S8" s="171" t="n"/>
      <c r="T8" s="171" t="n"/>
      <c r="U8" s="171" t="n"/>
      <c r="V8" s="171" t="n"/>
      <c r="W8" s="172" t="n"/>
      <c r="X8" s="127" t="n"/>
      <c r="Y8" s="170" t="n"/>
      <c r="Z8" s="1" t="n"/>
    </row>
    <row r="9" ht="15.75" customHeight="1">
      <c r="A9" s="1" t="n"/>
      <c r="B9" s="113" t="n"/>
      <c r="C9" s="173" t="n"/>
      <c r="D9" s="171" t="n"/>
      <c r="E9" s="172" t="n"/>
      <c r="F9" s="126" t="n"/>
      <c r="G9" s="171" t="n"/>
      <c r="H9" s="172" t="n"/>
      <c r="I9" s="126" t="n"/>
      <c r="J9" s="171" t="n"/>
      <c r="K9" s="171" t="n"/>
      <c r="L9" s="171" t="n"/>
      <c r="M9" s="171" t="n"/>
      <c r="N9" s="171" t="n"/>
      <c r="O9" s="171" t="n"/>
      <c r="P9" s="171" t="n"/>
      <c r="Q9" s="171" t="n"/>
      <c r="R9" s="171" t="n"/>
      <c r="S9" s="171" t="n"/>
      <c r="T9" s="171" t="n"/>
      <c r="U9" s="171" t="n"/>
      <c r="V9" s="171" t="n"/>
      <c r="W9" s="172" t="n"/>
      <c r="X9" s="127" t="n"/>
      <c r="Y9" s="170" t="n"/>
      <c r="Z9" s="1" t="n"/>
    </row>
    <row r="10" ht="15.75" customHeight="1">
      <c r="A10" s="1" t="n"/>
      <c r="B10" s="113" t="n"/>
      <c r="C10" s="173" t="n"/>
      <c r="D10" s="171" t="n"/>
      <c r="E10" s="172" t="n"/>
      <c r="F10" s="128" t="n"/>
      <c r="G10" s="171" t="n"/>
      <c r="H10" s="172" t="n"/>
      <c r="I10" s="128" t="n"/>
      <c r="J10" s="171" t="n"/>
      <c r="K10" s="171" t="n"/>
      <c r="L10" s="171" t="n"/>
      <c r="M10" s="171" t="n"/>
      <c r="N10" s="171" t="n"/>
      <c r="O10" s="171" t="n"/>
      <c r="P10" s="171" t="n"/>
      <c r="Q10" s="171" t="n"/>
      <c r="R10" s="171" t="n"/>
      <c r="S10" s="171" t="n"/>
      <c r="T10" s="171" t="n"/>
      <c r="U10" s="171" t="n"/>
      <c r="V10" s="171" t="n"/>
      <c r="W10" s="172" t="n"/>
      <c r="X10" s="127" t="n"/>
      <c r="Y10" s="170" t="n"/>
      <c r="Z10" s="1" t="n"/>
    </row>
    <row r="11" ht="15.75" customHeight="1">
      <c r="A11" s="1" t="n"/>
      <c r="B11" s="113" t="n"/>
      <c r="C11" s="173" t="n"/>
      <c r="D11" s="171" t="n"/>
      <c r="E11" s="172" t="n"/>
      <c r="F11" s="126" t="n"/>
      <c r="G11" s="171" t="n"/>
      <c r="H11" s="172" t="n"/>
      <c r="I11" s="126" t="n"/>
      <c r="J11" s="171" t="n"/>
      <c r="K11" s="171" t="n"/>
      <c r="L11" s="171" t="n"/>
      <c r="M11" s="171" t="n"/>
      <c r="N11" s="171" t="n"/>
      <c r="O11" s="171" t="n"/>
      <c r="P11" s="171" t="n"/>
      <c r="Q11" s="171" t="n"/>
      <c r="R11" s="171" t="n"/>
      <c r="S11" s="171" t="n"/>
      <c r="T11" s="171" t="n"/>
      <c r="U11" s="171" t="n"/>
      <c r="V11" s="171" t="n"/>
      <c r="W11" s="172" t="n"/>
      <c r="X11" s="129" t="n"/>
      <c r="Y11" s="174" t="n"/>
      <c r="Z11" s="1" t="n"/>
    </row>
    <row r="12" ht="15.75" customHeight="1">
      <c r="A12" s="1" t="n"/>
      <c r="B12" s="113" t="n"/>
      <c r="C12" s="173" t="n"/>
      <c r="D12" s="171" t="n"/>
      <c r="E12" s="172" t="n"/>
      <c r="F12" s="126" t="n"/>
      <c r="G12" s="171" t="n"/>
      <c r="H12" s="172" t="n"/>
      <c r="I12" s="126" t="n"/>
      <c r="J12" s="171" t="n"/>
      <c r="K12" s="171" t="n"/>
      <c r="L12" s="171" t="n"/>
      <c r="M12" s="171" t="n"/>
      <c r="N12" s="171" t="n"/>
      <c r="O12" s="171" t="n"/>
      <c r="P12" s="171" t="n"/>
      <c r="Q12" s="171" t="n"/>
      <c r="R12" s="171" t="n"/>
      <c r="S12" s="171" t="n"/>
      <c r="T12" s="171" t="n"/>
      <c r="U12" s="171" t="n"/>
      <c r="V12" s="171" t="n"/>
      <c r="W12" s="172" t="n"/>
      <c r="X12" s="129" t="n"/>
      <c r="Y12" s="174" t="n"/>
      <c r="Z12" s="1" t="n"/>
    </row>
    <row r="13" ht="15.75" customHeight="1">
      <c r="A13" s="1" t="n"/>
      <c r="B13" s="131" t="n"/>
      <c r="C13" s="173" t="n"/>
      <c r="D13" s="171" t="n"/>
      <c r="E13" s="172" t="n"/>
      <c r="F13" s="126" t="n"/>
      <c r="G13" s="171" t="n"/>
      <c r="H13" s="172" t="n"/>
      <c r="I13" s="126" t="n"/>
      <c r="J13" s="171" t="n"/>
      <c r="K13" s="171" t="n"/>
      <c r="L13" s="171" t="n"/>
      <c r="M13" s="171" t="n"/>
      <c r="N13" s="171" t="n"/>
      <c r="O13" s="171" t="n"/>
      <c r="P13" s="171" t="n"/>
      <c r="Q13" s="171" t="n"/>
      <c r="R13" s="171" t="n"/>
      <c r="S13" s="171" t="n"/>
      <c r="T13" s="171" t="n"/>
      <c r="U13" s="171" t="n"/>
      <c r="V13" s="171" t="n"/>
      <c r="W13" s="172" t="n"/>
      <c r="X13" s="129" t="n"/>
      <c r="Y13" s="174" t="n"/>
      <c r="Z13" s="1" t="n"/>
    </row>
    <row r="14" ht="15.75" customHeight="1">
      <c r="A14" s="1" t="n"/>
      <c r="B14" s="131" t="n"/>
      <c r="C14" s="173" t="n"/>
      <c r="D14" s="171" t="n"/>
      <c r="E14" s="172" t="n"/>
      <c r="F14" s="126" t="n"/>
      <c r="G14" s="171" t="n"/>
      <c r="H14" s="172" t="n"/>
      <c r="I14" s="126" t="n"/>
      <c r="J14" s="171" t="n"/>
      <c r="K14" s="171" t="n"/>
      <c r="L14" s="171" t="n"/>
      <c r="M14" s="171" t="n"/>
      <c r="N14" s="171" t="n"/>
      <c r="O14" s="171" t="n"/>
      <c r="P14" s="171" t="n"/>
      <c r="Q14" s="171" t="n"/>
      <c r="R14" s="171" t="n"/>
      <c r="S14" s="171" t="n"/>
      <c r="T14" s="171" t="n"/>
      <c r="U14" s="171" t="n"/>
      <c r="V14" s="171" t="n"/>
      <c r="W14" s="172" t="n"/>
      <c r="X14" s="129" t="n"/>
      <c r="Y14" s="174" t="n"/>
      <c r="Z14" s="1" t="n"/>
    </row>
    <row r="15" ht="15.75" customHeight="1">
      <c r="A15" s="1" t="n"/>
      <c r="B15" s="131" t="n"/>
      <c r="C15" s="173" t="n"/>
      <c r="D15" s="171" t="n"/>
      <c r="E15" s="172" t="n"/>
      <c r="F15" s="126" t="n"/>
      <c r="G15" s="171" t="n"/>
      <c r="H15" s="172" t="n"/>
      <c r="I15" s="126" t="n"/>
      <c r="J15" s="171" t="n"/>
      <c r="K15" s="171" t="n"/>
      <c r="L15" s="171" t="n"/>
      <c r="M15" s="171" t="n"/>
      <c r="N15" s="171" t="n"/>
      <c r="O15" s="171" t="n"/>
      <c r="P15" s="171" t="n"/>
      <c r="Q15" s="171" t="n"/>
      <c r="R15" s="171" t="n"/>
      <c r="S15" s="171" t="n"/>
      <c r="T15" s="171" t="n"/>
      <c r="U15" s="171" t="n"/>
      <c r="V15" s="171" t="n"/>
      <c r="W15" s="172" t="n"/>
      <c r="X15" s="129" t="n"/>
      <c r="Y15" s="174" t="n"/>
      <c r="Z15" s="1" t="n"/>
    </row>
    <row r="16" ht="15.75" customHeight="1">
      <c r="A16" s="1" t="n"/>
      <c r="B16" s="132" t="n"/>
      <c r="C16" s="175" t="n"/>
      <c r="D16" s="176" t="n"/>
      <c r="E16" s="177" t="n"/>
      <c r="F16" s="136" t="n"/>
      <c r="G16" s="176" t="n"/>
      <c r="H16" s="177" t="n"/>
      <c r="I16" s="136" t="n"/>
      <c r="J16" s="176" t="n"/>
      <c r="K16" s="176" t="n"/>
      <c r="L16" s="176" t="n"/>
      <c r="M16" s="176" t="n"/>
      <c r="N16" s="176" t="n"/>
      <c r="O16" s="176" t="n"/>
      <c r="P16" s="176" t="n"/>
      <c r="Q16" s="176" t="n"/>
      <c r="R16" s="176" t="n"/>
      <c r="S16" s="176" t="n"/>
      <c r="T16" s="176" t="n"/>
      <c r="U16" s="176" t="n"/>
      <c r="V16" s="176" t="n"/>
      <c r="W16" s="177" t="n"/>
      <c r="X16" s="137" t="n"/>
      <c r="Y16" s="178" t="n"/>
      <c r="Z16" s="1" t="n"/>
    </row>
    <row r="17" ht="15.75" customHeight="1">
      <c r="A17" s="1" t="n"/>
      <c r="B17" s="139" t="n"/>
      <c r="C17" s="164" t="n"/>
      <c r="D17" s="164" t="n"/>
      <c r="E17" s="164" t="n"/>
      <c r="F17" s="164" t="n"/>
      <c r="G17" s="164" t="n"/>
      <c r="H17" s="164" t="n"/>
      <c r="I17" s="164" t="n"/>
      <c r="J17" s="164" t="n"/>
      <c r="K17" s="164" t="n"/>
      <c r="L17" s="164" t="n"/>
      <c r="M17" s="164" t="n"/>
      <c r="N17" s="164" t="n"/>
      <c r="O17" s="164" t="n"/>
      <c r="P17" s="164" t="n"/>
      <c r="Q17" s="164" t="n"/>
      <c r="R17" s="164" t="n"/>
      <c r="S17" s="164" t="n"/>
      <c r="T17" s="164" t="n"/>
      <c r="U17" s="164" t="n"/>
      <c r="V17" s="164" t="n"/>
      <c r="W17" s="164" t="n"/>
      <c r="X17" s="164" t="n"/>
      <c r="Y17" s="166" t="n"/>
      <c r="Z17" s="1" t="n"/>
    </row>
    <row r="18" ht="15.7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4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4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4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4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4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4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4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4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4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4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4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4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4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4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4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4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4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4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4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4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4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4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4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4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4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4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4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4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4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4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4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4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4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4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4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4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4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4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4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4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4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4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4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4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4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4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4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4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4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4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4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4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4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4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4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4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4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4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4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4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4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4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4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4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4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4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4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4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4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4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4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4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4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4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4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4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4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4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4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4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4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4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4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4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4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4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4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4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4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4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4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4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4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4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4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4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4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4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4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4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4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4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4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4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4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4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4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4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4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4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4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4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4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4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4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4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4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4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4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4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4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4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4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4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4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4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4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4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4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4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4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4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4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4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4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4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4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4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4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4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4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4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4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4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4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4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4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4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4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4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4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4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4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4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4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4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4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4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4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4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4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4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4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4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4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4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4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4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4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4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4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4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4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4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4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4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4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4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4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4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4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4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4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4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4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4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16:E16"/>
    <mergeCell ref="X12:Y12"/>
    <mergeCell ref="F5:H5"/>
    <mergeCell ref="I7:W7"/>
    <mergeCell ref="I16:W16"/>
    <mergeCell ref="B2:Y2"/>
    <mergeCell ref="X11:Y11"/>
    <mergeCell ref="C9:E9"/>
    <mergeCell ref="F8:H8"/>
    <mergeCell ref="X8:Y8"/>
    <mergeCell ref="C12:E12"/>
    <mergeCell ref="B17:Y17"/>
    <mergeCell ref="I12:W12"/>
    <mergeCell ref="X13:Y13"/>
    <mergeCell ref="X7:Y7"/>
    <mergeCell ref="C11:E11"/>
    <mergeCell ref="X16:Y16"/>
    <mergeCell ref="F13:H13"/>
    <mergeCell ref="C8:E8"/>
    <mergeCell ref="I14:W14"/>
    <mergeCell ref="I5:W5"/>
    <mergeCell ref="F9:H9"/>
    <mergeCell ref="C7:E7"/>
    <mergeCell ref="I8:W8"/>
    <mergeCell ref="I4:W4"/>
    <mergeCell ref="X6:Y6"/>
    <mergeCell ref="C13:E13"/>
    <mergeCell ref="F14:H14"/>
    <mergeCell ref="X15:Y15"/>
    <mergeCell ref="I10:W10"/>
    <mergeCell ref="X5:Y5"/>
    <mergeCell ref="I13:W13"/>
    <mergeCell ref="F4:H4"/>
    <mergeCell ref="X14:Y14"/>
    <mergeCell ref="I9:W9"/>
    <mergeCell ref="C15:E15"/>
    <mergeCell ref="F11:H11"/>
    <mergeCell ref="C6:E6"/>
    <mergeCell ref="X4:Y4"/>
    <mergeCell ref="I6:W6"/>
    <mergeCell ref="F10:H10"/>
    <mergeCell ref="C14:E14"/>
    <mergeCell ref="F6:H6"/>
    <mergeCell ref="I15:W15"/>
    <mergeCell ref="C5:E5"/>
    <mergeCell ref="X10:Y10"/>
    <mergeCell ref="F16:H16"/>
    <mergeCell ref="I11:W11"/>
    <mergeCell ref="C4:E4"/>
    <mergeCell ref="F12:H12"/>
    <mergeCell ref="F7:H7"/>
    <mergeCell ref="X9:Y9"/>
    <mergeCell ref="F15:H15"/>
    <mergeCell ref="C10:E10"/>
  </mergeCells>
  <pageMargins left="0.75" right="0.75" top="1" bottom="1" header="0" footer="0"/>
  <pageSetup orientation="portrait" paperSize="1" scale="77"/>
</worksheet>
</file>

<file path=xl/worksheets/sheet3.xml><?xml version="1.0" encoding="utf-8"?>
<worksheet xmlns="http://schemas.openxmlformats.org/spreadsheetml/2006/main">
  <sheetPr>
    <outlinePr summaryBelow="0" summaryRight="0"/>
    <pageSetUpPr/>
  </sheetPr>
  <dimension ref="A1:AB329"/>
  <sheetViews>
    <sheetView showGridLines="0" view="pageBreakPreview" zoomScaleNormal="100" workbookViewId="0">
      <pane xSplit="4" ySplit="5" topLeftCell="E6" activePane="bottomRight" state="frozen"/>
      <selection activeCell="A1" sqref="A1"/>
      <selection pane="topRight" activeCell="A1" sqref="A1"/>
      <selection pane="bottomLeft" activeCell="A1" sqref="A1"/>
      <selection pane="bottomRight" activeCell="A14" sqref="A14"/>
    </sheetView>
  </sheetViews>
  <sheetFormatPr baseColWidth="8" defaultColWidth="12.5714285714286" defaultRowHeight="15" customHeight="1"/>
  <cols>
    <col width="12.7142857142857" customWidth="1" min="1" max="1"/>
    <col width="5" customWidth="1" min="2" max="2"/>
    <col width="42" customWidth="1" min="3" max="3"/>
    <col width="30" customWidth="1" min="4" max="4"/>
    <col width="11" customWidth="1" min="5" max="18"/>
    <col width="12.7142857142857" customWidth="1" min="19" max="28"/>
  </cols>
  <sheetData>
    <row r="1" ht="12.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2.75"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row>
    <row r="3" ht="18" customHeight="1">
      <c r="A3" s="1" t="n"/>
      <c r="B3" s="67" t="n"/>
      <c r="C3" s="67" t="n"/>
      <c r="D3" s="67" t="n"/>
      <c r="E3" s="80" t="inlineStr">
        <is>
          <t>Vòng 1 (Round 1)</t>
        </is>
      </c>
      <c r="F3" s="162" t="n"/>
      <c r="G3" s="162" t="n"/>
      <c r="H3" s="162" t="n"/>
      <c r="I3" s="162" t="n"/>
      <c r="J3" s="162" t="n"/>
      <c r="K3" s="163" t="n"/>
      <c r="L3" s="80" t="inlineStr">
        <is>
          <t>Vòng 2 (Round 2)</t>
        </is>
      </c>
      <c r="M3" s="162" t="n"/>
      <c r="N3" s="162" t="n"/>
      <c r="O3" s="162" t="n"/>
      <c r="P3" s="162" t="n"/>
      <c r="Q3" s="162" t="n"/>
      <c r="R3" s="163" t="n"/>
      <c r="S3" s="1" t="n"/>
      <c r="T3" s="1" t="n"/>
      <c r="U3" s="1" t="n"/>
      <c r="V3" s="1" t="n"/>
      <c r="W3" s="1" t="n"/>
      <c r="X3" s="1" t="n"/>
      <c r="Y3" s="1" t="n"/>
      <c r="Z3" s="1" t="n"/>
      <c r="AA3" s="1" t="n"/>
      <c r="AB3" s="1" t="n"/>
    </row>
    <row r="4" ht="18" customHeight="1">
      <c r="A4" s="1" t="n"/>
      <c r="B4" s="67" t="n"/>
      <c r="C4" s="81" t="inlineStr">
        <is>
          <t>TỔNG CỘNG HỆ THỐNG (KING HUB SOCIAL)</t>
        </is>
      </c>
      <c r="D4" s="67" t="n"/>
      <c r="E4" s="82">
        <f>SUM(E6:E14)</f>
        <v/>
      </c>
      <c r="F4" s="82">
        <f>SUM(F6:F14)</f>
        <v/>
      </c>
      <c r="G4" s="82">
        <f>SUM(G6:G14)</f>
        <v/>
      </c>
      <c r="H4" s="82">
        <f>SUM(H6:H14)</f>
        <v/>
      </c>
      <c r="I4" s="82">
        <f>SUM(I6:I14)</f>
        <v/>
      </c>
      <c r="J4" s="82">
        <f>SUM(J6:J14)</f>
        <v/>
      </c>
      <c r="K4" s="82">
        <f>SUM(K6:K14)</f>
        <v/>
      </c>
      <c r="L4" s="82">
        <f>SUM(L6:L14)</f>
        <v/>
      </c>
      <c r="M4" s="82">
        <f>SUM(M6:M14)</f>
        <v/>
      </c>
      <c r="N4" s="82">
        <f>SUM(N6:N14)</f>
        <v/>
      </c>
      <c r="O4" s="82">
        <f>SUM(O6:O14)</f>
        <v/>
      </c>
      <c r="P4" s="82">
        <f>SUM(P6:P14)</f>
        <v/>
      </c>
      <c r="Q4" s="82">
        <f>SUM(Q6:Q14)</f>
        <v/>
      </c>
      <c r="R4" s="82">
        <f>SUM(R6:R14)</f>
        <v/>
      </c>
      <c r="S4" s="1" t="n"/>
      <c r="T4" s="1" t="n"/>
      <c r="U4" s="1" t="n"/>
      <c r="V4" s="1" t="n"/>
      <c r="W4" s="1" t="n"/>
      <c r="X4" s="1" t="n"/>
      <c r="Y4" s="1" t="n"/>
      <c r="Z4" s="1" t="n"/>
      <c r="AA4" s="1" t="n"/>
      <c r="AB4" s="1" t="n"/>
    </row>
    <row r="5" ht="31.5" customHeight="1">
      <c r="A5" s="1" t="n"/>
      <c r="B5" s="83" t="inlineStr">
        <is>
          <t>STT</t>
        </is>
      </c>
      <c r="C5" s="84" t="inlineStr">
        <is>
          <t>Tên Module / Tính năng</t>
        </is>
      </c>
      <c r="D5" s="84" t="inlineStr">
        <is>
          <t>Mã Sheet</t>
        </is>
      </c>
      <c r="E5" s="85" t="inlineStr">
        <is>
          <t>Chưa làm (N)</t>
        </is>
      </c>
      <c r="F5" s="85" t="inlineStr">
        <is>
          <t>Đạt (OK)</t>
        </is>
      </c>
      <c r="G5" s="85" t="inlineStr">
        <is>
          <t>Lỗi (NG)</t>
        </is>
      </c>
      <c r="H5" s="85" t="inlineStr">
        <is>
          <t>Tạm hoãn (P)</t>
        </is>
      </c>
      <c r="I5" s="85" t="inlineStr">
        <is>
          <t>Bỏ qua (X)</t>
        </is>
      </c>
      <c r="J5" s="85" t="inlineStr">
        <is>
          <t>Đã thực hiện</t>
        </is>
      </c>
      <c r="K5" s="85" t="inlineStr">
        <is>
          <t>Tổng cộng</t>
        </is>
      </c>
      <c r="L5" s="85" t="inlineStr">
        <is>
          <t>Chưa làm (N)</t>
        </is>
      </c>
      <c r="M5" s="85" t="inlineStr">
        <is>
          <t>Đạt (OK)</t>
        </is>
      </c>
      <c r="N5" s="85" t="inlineStr">
        <is>
          <t>Lỗi (NG)</t>
        </is>
      </c>
      <c r="O5" s="85" t="inlineStr">
        <is>
          <t>Tạm hoãn (P)</t>
        </is>
      </c>
      <c r="P5" s="85" t="inlineStr">
        <is>
          <t>Bỏ qua (X)</t>
        </is>
      </c>
      <c r="Q5" s="85" t="inlineStr">
        <is>
          <t>Đã thực hiện</t>
        </is>
      </c>
      <c r="R5" s="86" t="inlineStr">
        <is>
          <t>Tổng cộng</t>
        </is>
      </c>
      <c r="S5" s="1" t="n"/>
      <c r="T5" s="1" t="n"/>
      <c r="U5" s="1" t="n"/>
      <c r="V5" s="1" t="n"/>
      <c r="W5" s="1" t="n"/>
      <c r="X5" s="1" t="n"/>
      <c r="Y5" s="1" t="n"/>
      <c r="Z5" s="1" t="n"/>
      <c r="AA5" s="1" t="n"/>
      <c r="AB5" s="1" t="n"/>
    </row>
    <row r="6" ht="31.5" customHeight="1">
      <c r="A6" s="1" t="n"/>
      <c r="B6" s="87" t="n">
        <v>1</v>
      </c>
      <c r="C6" s="88" t="inlineStr">
        <is>
          <t>1. Xác thực &amp; Quản lý Không gian làm việc (Auth &amp; Workspace)</t>
        </is>
      </c>
      <c r="D6" s="87" t="inlineStr">
        <is>
          <t>TC-Auth-Workspace</t>
        </is>
      </c>
      <c r="E6" s="89">
        <f>IF(LEN($D6)&lt;=0,"",IFERROR(INDIRECT("'"&amp;$D6&amp;"'!$J$4"),0))</f>
        <v/>
      </c>
      <c r="F6" s="89">
        <f>IF(LEN($D6)&lt;=0,"",IFERROR(INDIRECT("'"&amp;$D6&amp;"'!$J$5"),0))</f>
        <v/>
      </c>
      <c r="G6" s="89">
        <f>IF(LEN($D6)&lt;=0,"",IFERROR(INDIRECT("'"&amp;$D6&amp;"'!$J$6"),0))</f>
        <v/>
      </c>
      <c r="H6" s="89">
        <f>IF(LEN($D6)&lt;=0,"",IFERROR(INDIRECT("'"&amp;$D6&amp;"'!$J$7"),0))</f>
        <v/>
      </c>
      <c r="I6" s="89">
        <f>IF(LEN($D6)&lt;=0,"",IFERROR(INDIRECT("'"&amp;$D6&amp;"'!$J$8"),0))</f>
        <v/>
      </c>
      <c r="J6" s="89">
        <f>SUM(F6:G6)</f>
        <v/>
      </c>
      <c r="K6" s="89">
        <f>SUM(E6:I6)</f>
        <v/>
      </c>
      <c r="L6" s="89">
        <f>IF(LEN($D6)&lt;=0,"",IFERROR(INDIRECT("'"&amp;$D6&amp;"'!$K$4"),0))</f>
        <v/>
      </c>
      <c r="M6" s="89">
        <f>IF(LEN($D6)&lt;=0,"",IFERROR(INDIRECT("'"&amp;$D6&amp;"'!$K$5"),0))</f>
        <v/>
      </c>
      <c r="N6" s="89">
        <f>IF(LEN($D6)&lt;=0,"",IFERROR(INDIRECT("'"&amp;$D6&amp;"'!$K$6"),0))</f>
        <v/>
      </c>
      <c r="O6" s="89">
        <f>IF(LEN($D6)&lt;=0,"",IFERROR(INDIRECT("'"&amp;$D6&amp;"'!$K$7"),0))</f>
        <v/>
      </c>
      <c r="P6" s="89">
        <f>IF(LEN($D6)&lt;=0,"",IFERROR(INDIRECT("'"&amp;$D6&amp;"'!$K$8"),0))</f>
        <v/>
      </c>
      <c r="Q6" s="89">
        <f>SUM(M6:N6)</f>
        <v/>
      </c>
      <c r="R6" s="89">
        <f>SUM(L6:P6)</f>
        <v/>
      </c>
      <c r="S6" s="1" t="n"/>
      <c r="T6" s="1" t="n"/>
      <c r="U6" s="1" t="n"/>
      <c r="V6" s="1" t="n"/>
      <c r="W6" s="1" t="n"/>
      <c r="X6" s="1" t="n"/>
      <c r="Y6" s="1" t="n"/>
      <c r="Z6" s="1" t="n"/>
      <c r="AA6" s="1" t="n"/>
      <c r="AB6" s="1" t="n"/>
    </row>
    <row r="7" ht="42" customHeight="1">
      <c r="A7" s="1" t="n"/>
      <c r="B7" s="87" t="n">
        <v>2</v>
      </c>
      <c r="C7" s="88" t="inlineStr">
        <is>
          <t>2. Quản lý Kênh Mạng Xã Hội &amp; Kết nối Đa Nền Tảng (Social Accounts)</t>
        </is>
      </c>
      <c r="D7" s="87" t="inlineStr">
        <is>
          <t>TC-Social-Accounts</t>
        </is>
      </c>
      <c r="E7" s="89">
        <f>IF(LEN($D7)&lt;=0,"",IFERROR(INDIRECT("'"&amp;$D7&amp;"'!$J$4"),0))</f>
        <v/>
      </c>
      <c r="F7" s="89">
        <f>IF(LEN($D7)&lt;=0,"",IFERROR(INDIRECT("'"&amp;$D7&amp;"'!$J$5"),0))</f>
        <v/>
      </c>
      <c r="G7" s="89">
        <f>IF(LEN($D7)&lt;=0,"",IFERROR(INDIRECT("'"&amp;$D7&amp;"'!$J$6"),0))</f>
        <v/>
      </c>
      <c r="H7" s="89">
        <f>IF(LEN($D7)&lt;=0,"",IFERROR(INDIRECT("'"&amp;$D7&amp;"'!$J$7"),0))</f>
        <v/>
      </c>
      <c r="I7" s="89">
        <f>IF(LEN($D7)&lt;=0,"",IFERROR(INDIRECT("'"&amp;$D7&amp;"'!$J$8"),0))</f>
        <v/>
      </c>
      <c r="J7" s="89">
        <f>SUM(F7:G7)</f>
        <v/>
      </c>
      <c r="K7" s="89">
        <f>SUM(E7:I7)</f>
        <v/>
      </c>
      <c r="L7" s="89">
        <f>IF(LEN($D7)&lt;=0,"",IFERROR(INDIRECT("'"&amp;$D7&amp;"'!$K$4"),0))</f>
        <v/>
      </c>
      <c r="M7" s="89">
        <f>IF(LEN($D7)&lt;=0,"",IFERROR(INDIRECT("'"&amp;$D7&amp;"'!$K$5"),0))</f>
        <v/>
      </c>
      <c r="N7" s="89">
        <f>IF(LEN($D7)&lt;=0,"",IFERROR(INDIRECT("'"&amp;$D7&amp;"'!$K$6"),0))</f>
        <v/>
      </c>
      <c r="O7" s="89">
        <f>IF(LEN($D7)&lt;=0,"",IFERROR(INDIRECT("'"&amp;$D7&amp;"'!$K$7"),0))</f>
        <v/>
      </c>
      <c r="P7" s="89">
        <f>IF(LEN($D7)&lt;=0,"",IFERROR(INDIRECT("'"&amp;$D7&amp;"'!$K$8"),0))</f>
        <v/>
      </c>
      <c r="Q7" s="89">
        <f>SUM(M7:N7)</f>
        <v/>
      </c>
      <c r="R7" s="89">
        <f>SUM(L7:P7)</f>
        <v/>
      </c>
      <c r="S7" s="1" t="n"/>
      <c r="T7" s="1" t="n"/>
      <c r="U7" s="1" t="n"/>
      <c r="V7" s="1" t="n"/>
      <c r="W7" s="1" t="n"/>
      <c r="X7" s="1" t="n"/>
      <c r="Y7" s="1" t="n"/>
      <c r="Z7" s="1" t="n"/>
      <c r="AA7" s="1" t="n"/>
      <c r="AB7" s="1" t="n"/>
    </row>
    <row r="8" ht="37.5" customHeight="1">
      <c r="A8" s="1" t="n"/>
      <c r="B8" s="87" t="n">
        <v>3</v>
      </c>
      <c r="C8" s="88" t="inlineStr">
        <is>
          <t>3. Trình Soạn Thảo &amp; Xuất Bản Bài Viết Đa Kênh (Post Composer)</t>
        </is>
      </c>
      <c r="D8" s="87" t="inlineStr">
        <is>
          <t>TC-Post-Composer</t>
        </is>
      </c>
      <c r="E8" s="89">
        <f>IF(LEN($D8)&lt;=0,"",IFERROR(INDIRECT("'"&amp;$D8&amp;"'!$J$4"),0))</f>
        <v/>
      </c>
      <c r="F8" s="89">
        <f>IF(LEN($D8)&lt;=0,"",IFERROR(INDIRECT("'"&amp;$D8&amp;"'!$J$5"),0))</f>
        <v/>
      </c>
      <c r="G8" s="89">
        <f>IF(LEN($D8)&lt;=0,"",IFERROR(INDIRECT("'"&amp;$D8&amp;"'!$J$6"),0))</f>
        <v/>
      </c>
      <c r="H8" s="89">
        <f>IF(LEN($D8)&lt;=0,"",IFERROR(INDIRECT("'"&amp;$D8&amp;"'!$J$7"),0))</f>
        <v/>
      </c>
      <c r="I8" s="89">
        <f>IF(LEN($D8)&lt;=0,"",IFERROR(INDIRECT("'"&amp;$D8&amp;"'!$J$8"),0))</f>
        <v/>
      </c>
      <c r="J8" s="89">
        <f>SUM(F8:G8)</f>
        <v/>
      </c>
      <c r="K8" s="89">
        <f>SUM(E8:I8)</f>
        <v/>
      </c>
      <c r="L8" s="89">
        <f>IF(LEN($D8)&lt;=0,"",IFERROR(INDIRECT("'"&amp;$D8&amp;"'!$K$4"),0))</f>
        <v/>
      </c>
      <c r="M8" s="89">
        <f>IF(LEN($D8)&lt;=0,"",IFERROR(INDIRECT("'"&amp;$D8&amp;"'!$K$5"),0))</f>
        <v/>
      </c>
      <c r="N8" s="89">
        <f>IF(LEN($D8)&lt;=0,"",IFERROR(INDIRECT("'"&amp;$D8&amp;"'!$K$6"),0))</f>
        <v/>
      </c>
      <c r="O8" s="89">
        <f>IF(LEN($D8)&lt;=0,"",IFERROR(INDIRECT("'"&amp;$D8&amp;"'!$K$7"),0))</f>
        <v/>
      </c>
      <c r="P8" s="89">
        <f>IF(LEN($D8)&lt;=0,"",IFERROR(INDIRECT("'"&amp;$D8&amp;"'!$K$8"),0))</f>
        <v/>
      </c>
      <c r="Q8" s="89">
        <f>SUM(M8:N8)</f>
        <v/>
      </c>
      <c r="R8" s="89">
        <f>SUM(L8:P8)</f>
        <v/>
      </c>
      <c r="S8" s="1" t="n"/>
      <c r="T8" s="1" t="n"/>
      <c r="U8" s="1" t="n"/>
      <c r="V8" s="1" t="n"/>
      <c r="W8" s="1" t="n"/>
      <c r="X8" s="1" t="n"/>
      <c r="Y8" s="1" t="n"/>
      <c r="Z8" s="1" t="n"/>
      <c r="AA8" s="1" t="n"/>
      <c r="AB8" s="1" t="n"/>
    </row>
    <row r="9" ht="33" customHeight="1">
      <c r="A9" s="1" t="n"/>
      <c r="B9" s="90" t="n">
        <v>4</v>
      </c>
      <c r="C9" s="91" t="inlineStr">
        <is>
          <t>4. Luồng Kiểm Duyệt Bài Viết &amp; Phân Quyền Phê Duyệt (Content Workflows)</t>
        </is>
      </c>
      <c r="D9" s="90" t="inlineStr">
        <is>
          <t>TC-Content-Workflows</t>
        </is>
      </c>
      <c r="E9" s="92">
        <f>IF(LEN($D9)&lt;=0,"",IFERROR(INDIRECT("'"&amp;$D9&amp;"'!$J$4"),0))</f>
        <v/>
      </c>
      <c r="F9" s="92">
        <f>IF(LEN($D9)&lt;=0,"",IFERROR(INDIRECT("'"&amp;$D9&amp;"'!$J$5"),0))</f>
        <v/>
      </c>
      <c r="G9" s="92">
        <f>IF(LEN($D9)&lt;=0,"",IFERROR(INDIRECT("'"&amp;$D9&amp;"'!$J$6"),0))</f>
        <v/>
      </c>
      <c r="H9" s="92">
        <f>IF(LEN($D9)&lt;=0,"",IFERROR(INDIRECT("'"&amp;$D9&amp;"'!$J$7"),0))</f>
        <v/>
      </c>
      <c r="I9" s="92">
        <f>IF(LEN($D9)&lt;=0,"",IFERROR(INDIRECT("'"&amp;$D9&amp;"'!$J$8"),0))</f>
        <v/>
      </c>
      <c r="J9" s="92">
        <f>SUM(F9:G9)</f>
        <v/>
      </c>
      <c r="K9" s="92">
        <f>SUM(E9:I9)</f>
        <v/>
      </c>
      <c r="L9" s="92">
        <f>IF(LEN($D9)&lt;=0,"",IFERROR(INDIRECT("'"&amp;$D9&amp;"'!$K$4"),0))</f>
        <v/>
      </c>
      <c r="M9" s="92">
        <f>IF(LEN($D9)&lt;=0,"",IFERROR(INDIRECT("'"&amp;$D9&amp;"'!$K$5"),0))</f>
        <v/>
      </c>
      <c r="N9" s="92">
        <f>IF(LEN($D9)&lt;=0,"",IFERROR(INDIRECT("'"&amp;$D9&amp;"'!$K$6"),0))</f>
        <v/>
      </c>
      <c r="O9" s="92">
        <f>IF(LEN($D9)&lt;=0,"",IFERROR(INDIRECT("'"&amp;$D9&amp;"'!$K$7"),0))</f>
        <v/>
      </c>
      <c r="P9" s="92">
        <f>IF(LEN($D9)&lt;=0,"",IFERROR(INDIRECT("'"&amp;$D9&amp;"'!$K$8"),0))</f>
        <v/>
      </c>
      <c r="Q9" s="92">
        <f>SUM(M9:N9)</f>
        <v/>
      </c>
      <c r="R9" s="92">
        <f>SUM(L9:P9)</f>
        <v/>
      </c>
      <c r="S9" s="1" t="n"/>
      <c r="T9" s="1" t="n"/>
      <c r="U9" s="1" t="n"/>
      <c r="V9" s="1" t="n"/>
      <c r="W9" s="1" t="n"/>
      <c r="X9" s="1" t="n"/>
      <c r="Y9" s="1" t="n"/>
      <c r="Z9" s="1" t="n"/>
      <c r="AA9" s="1" t="n"/>
      <c r="AB9" s="1" t="n"/>
    </row>
    <row r="10" ht="53.25" customHeight="1">
      <c r="A10" s="1" t="n"/>
      <c r="B10" s="90" t="n">
        <v>5</v>
      </c>
      <c r="C10" s="91" t="inlineStr">
        <is>
          <t>5. AI Studio, Nhân Bản &amp; Sáng Tạo Đa Phương Tiện (AI &amp; Clone)</t>
        </is>
      </c>
      <c r="D10" s="90" t="inlineStr">
        <is>
          <t>TC-AI-Studio-Clone</t>
        </is>
      </c>
      <c r="E10" s="92">
        <f>IF(LEN($D10)&lt;=0,"",IFERROR(INDIRECT("'"&amp;$D10&amp;"'!$J$4"),0))</f>
        <v/>
      </c>
      <c r="F10" s="92">
        <f>IF(LEN($D10)&lt;=0,"",IFERROR(INDIRECT("'"&amp;$D10&amp;"'!$J$5"),0))</f>
        <v/>
      </c>
      <c r="G10" s="92">
        <f>IF(LEN($D10)&lt;=0,"",IFERROR(INDIRECT("'"&amp;$D10&amp;"'!$J$6"),0))</f>
        <v/>
      </c>
      <c r="H10" s="92">
        <f>IF(LEN($D10)&lt;=0,"",IFERROR(INDIRECT("'"&amp;$D10&amp;"'!$J$7"),0))</f>
        <v/>
      </c>
      <c r="I10" s="92">
        <f>IF(LEN($D10)&lt;=0,"",IFERROR(INDIRECT("'"&amp;$D10&amp;"'!$J$8"),0))</f>
        <v/>
      </c>
      <c r="J10" s="92">
        <f>SUM(F10:G10)</f>
        <v/>
      </c>
      <c r="K10" s="92">
        <f>SUM(E10:I10)</f>
        <v/>
      </c>
      <c r="L10" s="92">
        <f>IF(LEN($D10)&lt;=0,"",IFERROR(INDIRECT("'"&amp;$D10&amp;"'!$K$4"),0))</f>
        <v/>
      </c>
      <c r="M10" s="92">
        <f>IF(LEN($D10)&lt;=0,"",IFERROR(INDIRECT("'"&amp;$D10&amp;"'!$K$5"),0))</f>
        <v/>
      </c>
      <c r="N10" s="92">
        <f>IF(LEN($D10)&lt;=0,"",IFERROR(INDIRECT("'"&amp;$D10&amp;"'!$K$6"),0))</f>
        <v/>
      </c>
      <c r="O10" s="92">
        <f>IF(LEN($D10)&lt;=0,"",IFERROR(INDIRECT("'"&amp;$D10&amp;"'!$K$7"),0))</f>
        <v/>
      </c>
      <c r="P10" s="92">
        <f>IF(LEN($D10)&lt;=0,"",IFERROR(INDIRECT("'"&amp;$D10&amp;"'!$K$8"),0))</f>
        <v/>
      </c>
      <c r="Q10" s="92">
        <f>SUM(M10:N10)</f>
        <v/>
      </c>
      <c r="R10" s="92">
        <f>SUM(L10:P10)</f>
        <v/>
      </c>
      <c r="S10" s="1" t="n"/>
      <c r="T10" s="1" t="n"/>
      <c r="U10" s="1" t="n"/>
      <c r="V10" s="1" t="n"/>
      <c r="W10" s="1" t="n"/>
      <c r="X10" s="1" t="n"/>
      <c r="Y10" s="1" t="n"/>
      <c r="Z10" s="1" t="n"/>
      <c r="AA10" s="1" t="n"/>
      <c r="AB10" s="1" t="n"/>
    </row>
    <row r="11" ht="36.75" customHeight="1">
      <c r="A11" s="1" t="n"/>
      <c r="B11" s="90" t="n">
        <v>6</v>
      </c>
      <c r="C11" s="91" t="inlineStr">
        <is>
          <t>6. Lịch Biểu Nội Dung &amp; Lập Lịch Trực Quan (Content Calendar)</t>
        </is>
      </c>
      <c r="D11" s="90" t="inlineStr">
        <is>
          <t>TC-Content-Calendar</t>
        </is>
      </c>
      <c r="E11" s="92">
        <f>IF(LEN($D11)&lt;=0,"",IFERROR(INDIRECT("'"&amp;$D11&amp;"'!$J$4"),0))</f>
        <v/>
      </c>
      <c r="F11" s="92">
        <f>IF(LEN($D11)&lt;=0,"",IFERROR(INDIRECT("'"&amp;$D11&amp;"'!$J$5"),0))</f>
        <v/>
      </c>
      <c r="G11" s="92">
        <f>IF(LEN($D11)&lt;=0,"",IFERROR(INDIRECT("'"&amp;$D11&amp;"'!$J$6"),0))</f>
        <v/>
      </c>
      <c r="H11" s="92">
        <f>IF(LEN($D11)&lt;=0,"",IFERROR(INDIRECT("'"&amp;$D11&amp;"'!$J$7"),0))</f>
        <v/>
      </c>
      <c r="I11" s="92">
        <f>IF(LEN($D11)&lt;=0,"",IFERROR(INDIRECT("'"&amp;$D11&amp;"'!$J$8"),0))</f>
        <v/>
      </c>
      <c r="J11" s="92">
        <f>SUM(F11:G11)</f>
        <v/>
      </c>
      <c r="K11" s="92">
        <f>SUM(E11:I11)</f>
        <v/>
      </c>
      <c r="L11" s="92">
        <f>IF(LEN($D11)&lt;=0,"",IFERROR(INDIRECT("'"&amp;$D11&amp;"'!$K$4"),0))</f>
        <v/>
      </c>
      <c r="M11" s="92">
        <f>IF(LEN($D11)&lt;=0,"",IFERROR(INDIRECT("'"&amp;$D11&amp;"'!$K$5"),0))</f>
        <v/>
      </c>
      <c r="N11" s="92">
        <f>IF(LEN($D11)&lt;=0,"",IFERROR(INDIRECT("'"&amp;$D11&amp;"'!$K$6"),0))</f>
        <v/>
      </c>
      <c r="O11" s="92">
        <f>IF(LEN($D11)&lt;=0,"",IFERROR(INDIRECT("'"&amp;$D11&amp;"'!$K$7"),0))</f>
        <v/>
      </c>
      <c r="P11" s="92">
        <f>IF(LEN($D11)&lt;=0,"",IFERROR(INDIRECT("'"&amp;$D11&amp;"'!$K$8"),0))</f>
        <v/>
      </c>
      <c r="Q11" s="92">
        <f>SUM(M11:N11)</f>
        <v/>
      </c>
      <c r="R11" s="92">
        <f>SUM(L11:P11)</f>
        <v/>
      </c>
      <c r="S11" s="1" t="n"/>
      <c r="T11" s="1" t="n"/>
      <c r="U11" s="1" t="n"/>
      <c r="V11" s="1" t="n"/>
      <c r="W11" s="1" t="n"/>
      <c r="X11" s="1" t="n"/>
      <c r="Y11" s="1" t="n"/>
      <c r="Z11" s="1" t="n"/>
      <c r="AA11" s="1" t="n"/>
      <c r="AB11" s="1" t="n"/>
    </row>
    <row r="12" ht="51.75" customHeight="1">
      <c r="A12" s="1" t="n"/>
      <c r="B12" s="93" t="n">
        <v>7</v>
      </c>
      <c r="C12" s="94" t="inlineStr">
        <is>
          <t>7. Kho Media &amp; Thư Viện Tài Nguyên Thương Hiệu (Media Library)</t>
        </is>
      </c>
      <c r="D12" s="93" t="inlineStr">
        <is>
          <t>TC-Media-Library</t>
        </is>
      </c>
      <c r="E12" s="95">
        <f>IF(LEN($D12)&lt;=0,"",IFERROR(INDIRECT("'"&amp;$D12&amp;"'!$J$4"),0))</f>
        <v/>
      </c>
      <c r="F12" s="95">
        <f>IF(LEN($D12)&lt;=0,"",IFERROR(INDIRECT("'"&amp;$D12&amp;"'!$J$5"),0))</f>
        <v/>
      </c>
      <c r="G12" s="95">
        <f>IF(LEN($D12)&lt;=0,"",IFERROR(INDIRECT("'"&amp;$D12&amp;"'!$J$6"),0))</f>
        <v/>
      </c>
      <c r="H12" s="95">
        <f>IF(LEN($D12)&lt;=0,"",IFERROR(INDIRECT("'"&amp;$D12&amp;"'!$J$7"),0))</f>
        <v/>
      </c>
      <c r="I12" s="95">
        <f>IF(LEN($D12)&lt;=0,"",IFERROR(INDIRECT("'"&amp;$D12&amp;"'!$J$8"),0))</f>
        <v/>
      </c>
      <c r="J12" s="95">
        <f>SUM(F12:G12)</f>
        <v/>
      </c>
      <c r="K12" s="95">
        <f>SUM(E12:I12)</f>
        <v/>
      </c>
      <c r="L12" s="95">
        <f>IF(LEN($D12)&lt;=0,"",IFERROR(INDIRECT("'"&amp;$D12&amp;"'!$K$4"),0))</f>
        <v/>
      </c>
      <c r="M12" s="95">
        <f>IF(LEN($D12)&lt;=0,"",IFERROR(INDIRECT("'"&amp;$D12&amp;"'!$K$5"),0))</f>
        <v/>
      </c>
      <c r="N12" s="95">
        <f>IF(LEN($D12)&lt;=0,"",IFERROR(INDIRECT("'"&amp;$D12&amp;"'!$K$6"),0))</f>
        <v/>
      </c>
      <c r="O12" s="95">
        <f>IF(LEN($D12)&lt;=0,"",IFERROR(INDIRECT("'"&amp;$D12&amp;"'!$K$7"),0))</f>
        <v/>
      </c>
      <c r="P12" s="95">
        <f>IF(LEN($D12)&lt;=0,"",IFERROR(INDIRECT("'"&amp;$D12&amp;"'!$K$8"),0))</f>
        <v/>
      </c>
      <c r="Q12" s="95">
        <f>SUM(M12:N12)</f>
        <v/>
      </c>
      <c r="R12" s="95">
        <f>SUM(L12:P12)</f>
        <v/>
      </c>
      <c r="S12" s="1" t="n"/>
      <c r="T12" s="1" t="n"/>
      <c r="U12" s="1" t="n"/>
      <c r="V12" s="1" t="n"/>
      <c r="W12" s="1" t="n"/>
      <c r="X12" s="1" t="n"/>
      <c r="Y12" s="1" t="n"/>
      <c r="Z12" s="1" t="n"/>
      <c r="AA12" s="1" t="n"/>
      <c r="AB12" s="1" t="n"/>
    </row>
    <row r="13" ht="49.5" customHeight="1">
      <c r="A13" s="1" t="n"/>
      <c r="B13" s="87" t="n">
        <v>8</v>
      </c>
      <c r="C13" s="88" t="inlineStr">
        <is>
          <t>8. Hộp Thư Đa Kênh Omnichat, CSKH &amp; CRM Tự Động (Omnichat &amp; CRM)</t>
        </is>
      </c>
      <c r="D13" s="87" t="inlineStr">
        <is>
          <t>TC-Omnichat-CRM</t>
        </is>
      </c>
      <c r="E13" s="89">
        <f>IF(LEN($D13)&lt;=0,"",IFERROR(INDIRECT("'"&amp;$D13&amp;"'!$J$4"),0))</f>
        <v/>
      </c>
      <c r="F13" s="89">
        <f>IF(LEN($D13)&lt;=0,"",IFERROR(INDIRECT("'"&amp;$D13&amp;"'!$J$5"),0))</f>
        <v/>
      </c>
      <c r="G13" s="89">
        <f>IF(LEN($D13)&lt;=0,"",IFERROR(INDIRECT("'"&amp;$D13&amp;"'!$J$6"),0))</f>
        <v/>
      </c>
      <c r="H13" s="89">
        <f>IF(LEN($D13)&lt;=0,"",IFERROR(INDIRECT("'"&amp;$D13&amp;"'!$J$7"),0))</f>
        <v/>
      </c>
      <c r="I13" s="89">
        <f>IF(LEN($D13)&lt;=0,"",IFERROR(INDIRECT("'"&amp;$D13&amp;"'!$J$8"),0))</f>
        <v/>
      </c>
      <c r="J13" s="89">
        <f>SUM(F13:G13)</f>
        <v/>
      </c>
      <c r="K13" s="89">
        <f>SUM(E13:I13)</f>
        <v/>
      </c>
      <c r="L13" s="89">
        <f>IF(LEN($D13)&lt;=0,"",IFERROR(INDIRECT("'"&amp;$D13&amp;"'!$K$4"),0))</f>
        <v/>
      </c>
      <c r="M13" s="89">
        <f>IF(LEN($D13)&lt;=0,"",IFERROR(INDIRECT("'"&amp;$D13&amp;"'!$K$5"),0))</f>
        <v/>
      </c>
      <c r="N13" s="89">
        <f>IF(LEN($D13)&lt;=0,"",IFERROR(INDIRECT("'"&amp;$D13&amp;"'!$K$6"),0))</f>
        <v/>
      </c>
      <c r="O13" s="89">
        <f>IF(LEN($D13)&lt;=0,"",IFERROR(INDIRECT("'"&amp;$D13&amp;"'!$K$7"),0))</f>
        <v/>
      </c>
      <c r="P13" s="89">
        <f>IF(LEN($D13)&lt;=0,"",IFERROR(INDIRECT("'"&amp;$D13&amp;"'!$K$8"),0))</f>
        <v/>
      </c>
      <c r="Q13" s="89">
        <f>SUM(M13:N13)</f>
        <v/>
      </c>
      <c r="R13" s="89">
        <f>SUM(L13:P13)</f>
        <v/>
      </c>
      <c r="S13" s="1" t="n"/>
      <c r="T13" s="1" t="n"/>
      <c r="U13" s="1" t="n"/>
      <c r="V13" s="1" t="n"/>
      <c r="W13" s="1" t="n"/>
      <c r="X13" s="1" t="n"/>
      <c r="Y13" s="1" t="n"/>
      <c r="Z13" s="1" t="n"/>
      <c r="AA13" s="1" t="n"/>
      <c r="AB13" s="1" t="n"/>
    </row>
    <row r="14" ht="78.75" customHeight="1">
      <c r="A14" s="1" t="n"/>
      <c r="B14" s="90" t="n">
        <v>9</v>
      </c>
      <c r="C14" s="91" t="inlineStr">
        <is>
          <t>9. Báo Cáo Thống Kê &amp; Phân Tích Hiệu Suất (Analytics &amp; Reports)</t>
        </is>
      </c>
      <c r="D14" s="90" t="inlineStr">
        <is>
          <t>TC-Analytics-Reports</t>
        </is>
      </c>
      <c r="E14" s="92">
        <f>IF(LEN($D14)&lt;=0,"",IFERROR(INDIRECT("'"&amp;$D14&amp;"'!$J$4"),0))</f>
        <v/>
      </c>
      <c r="F14" s="92">
        <f>IF(LEN($D14)&lt;=0,"",IFERROR(INDIRECT("'"&amp;$D14&amp;"'!$J$5"),0))</f>
        <v/>
      </c>
      <c r="G14" s="92">
        <f>IF(LEN($D14)&lt;=0,"",IFERROR(INDIRECT("'"&amp;$D14&amp;"'!$J$6"),0))</f>
        <v/>
      </c>
      <c r="H14" s="92">
        <f>IF(LEN($D14)&lt;=0,"",IFERROR(INDIRECT("'"&amp;$D14&amp;"'!$J$7"),0))</f>
        <v/>
      </c>
      <c r="I14" s="92">
        <f>IF(LEN($D14)&lt;=0,"",IFERROR(INDIRECT("'"&amp;$D14&amp;"'!$J$8"),0))</f>
        <v/>
      </c>
      <c r="J14" s="92">
        <f>SUM(F14:G14)</f>
        <v/>
      </c>
      <c r="K14" s="92">
        <f>SUM(E14:I14)</f>
        <v/>
      </c>
      <c r="L14" s="92">
        <f>IF(LEN($D14)&lt;=0,"",IFERROR(INDIRECT("'"&amp;$D14&amp;"'!$K$4"),0))</f>
        <v/>
      </c>
      <c r="M14" s="92">
        <f>IF(LEN($D14)&lt;=0,"",IFERROR(INDIRECT("'"&amp;$D14&amp;"'!$K$5"),0))</f>
        <v/>
      </c>
      <c r="N14" s="92">
        <f>IF(LEN($D14)&lt;=0,"",IFERROR(INDIRECT("'"&amp;$D14&amp;"'!$K$6"),0))</f>
        <v/>
      </c>
      <c r="O14" s="92">
        <f>IF(LEN($D14)&lt;=0,"",IFERROR(INDIRECT("'"&amp;$D14&amp;"'!$K$7"),0))</f>
        <v/>
      </c>
      <c r="P14" s="92">
        <f>IF(LEN($D14)&lt;=0,"",IFERROR(INDIRECT("'"&amp;$D14&amp;"'!$K$8"),0))</f>
        <v/>
      </c>
      <c r="Q14" s="92">
        <f>SUM(M14:N14)</f>
        <v/>
      </c>
      <c r="R14" s="92">
        <f>SUM(L14:P14)</f>
        <v/>
      </c>
      <c r="S14" s="1" t="n"/>
      <c r="T14" s="1" t="n"/>
      <c r="U14" s="1" t="n"/>
      <c r="V14" s="1" t="n"/>
      <c r="W14" s="1" t="n"/>
      <c r="X14" s="1" t="n"/>
      <c r="Y14" s="1" t="n"/>
      <c r="Z14" s="1" t="n"/>
      <c r="AA14" s="1" t="n"/>
      <c r="AB14" s="1" t="n"/>
    </row>
    <row r="15" ht="12.75" customHeight="1">
      <c r="A15" s="1" t="n"/>
      <c r="B15" s="96" t="n"/>
      <c r="C15" s="97" t="n"/>
      <c r="D15" s="97" t="n"/>
      <c r="E15" s="97" t="n"/>
      <c r="F15" s="97" t="n"/>
      <c r="G15" s="97" t="n"/>
      <c r="H15" s="97" t="n"/>
      <c r="I15" s="97" t="n"/>
      <c r="J15" s="97" t="n"/>
      <c r="K15" s="97" t="n"/>
      <c r="L15" s="97" t="n"/>
      <c r="M15" s="97" t="n"/>
      <c r="N15" s="97" t="n"/>
      <c r="O15" s="97" t="n"/>
      <c r="P15" s="97" t="n"/>
      <c r="Q15" s="97" t="n"/>
      <c r="R15" s="98" t="n"/>
      <c r="S15" s="1" t="n"/>
      <c r="T15" s="1" t="n"/>
      <c r="U15" s="1" t="n"/>
      <c r="V15" s="1" t="n"/>
      <c r="W15" s="1" t="n"/>
      <c r="X15" s="1" t="n"/>
      <c r="Y15" s="1" t="n"/>
      <c r="Z15" s="1" t="n"/>
      <c r="AA15" s="1" t="n"/>
      <c r="AB15" s="1" t="n"/>
    </row>
    <row r="16" ht="14.45" customHeight="1">
      <c r="A16" s="1" t="n"/>
      <c r="B16" s="99" t="n"/>
      <c r="C16" s="100" t="n"/>
      <c r="D16" s="101" t="n"/>
      <c r="E16" s="100" t="n"/>
      <c r="F16" s="100" t="n"/>
      <c r="G16" s="100" t="n"/>
      <c r="H16" s="100" t="n"/>
      <c r="I16" s="100" t="n"/>
      <c r="J16" s="100" t="n"/>
      <c r="K16" s="100" t="n"/>
      <c r="L16" s="100" t="n"/>
      <c r="M16" s="100" t="n"/>
      <c r="N16" s="100" t="n"/>
      <c r="O16" s="100" t="n"/>
      <c r="P16" s="100" t="n"/>
      <c r="Q16" s="100" t="n"/>
      <c r="R16" s="102" t="n"/>
      <c r="S16" s="1" t="n"/>
      <c r="T16" s="1" t="n"/>
      <c r="U16" s="1" t="n"/>
      <c r="V16" s="1" t="n"/>
      <c r="W16" s="1" t="n"/>
      <c r="X16" s="1" t="n"/>
      <c r="Y16" s="1" t="n"/>
      <c r="Z16" s="1" t="n"/>
      <c r="AA16" s="1" t="n"/>
      <c r="AB16" s="1" t="n"/>
    </row>
    <row r="17" ht="14.45" customHeight="1">
      <c r="A17" s="1" t="n"/>
      <c r="B17" s="103" t="n"/>
      <c r="C17" s="104" t="n"/>
      <c r="D17" s="104" t="n"/>
      <c r="E17" s="104" t="n"/>
      <c r="F17" s="104" t="n"/>
      <c r="G17" s="104" t="n"/>
      <c r="H17" s="104" t="n"/>
      <c r="I17" s="104" t="n"/>
      <c r="J17" s="104" t="n"/>
      <c r="K17" s="104" t="n"/>
      <c r="L17" s="104" t="n"/>
      <c r="M17" s="104" t="n"/>
      <c r="N17" s="104" t="n"/>
      <c r="O17" s="104" t="n"/>
      <c r="P17" s="104" t="n"/>
      <c r="Q17" s="104" t="n"/>
      <c r="R17" s="105" t="n"/>
      <c r="S17" s="1" t="n"/>
      <c r="T17" s="1" t="n"/>
      <c r="U17" s="1" t="n"/>
      <c r="V17" s="1" t="n"/>
      <c r="W17" s="1" t="n"/>
      <c r="X17" s="1" t="n"/>
      <c r="Y17" s="1" t="n"/>
      <c r="Z17" s="1" t="n"/>
      <c r="AA17" s="1" t="n"/>
      <c r="AB17" s="1" t="n"/>
    </row>
    <row r="18" ht="12.75" customHeight="1">
      <c r="A18" s="1" t="n"/>
      <c r="B18" s="96" t="n"/>
      <c r="C18" s="97" t="n"/>
      <c r="D18" s="97" t="n"/>
      <c r="E18" s="97" t="n"/>
      <c r="F18" s="97" t="n"/>
      <c r="G18" s="97" t="n"/>
      <c r="H18" s="97" t="n"/>
      <c r="I18" s="97" t="n"/>
      <c r="J18" s="97" t="n"/>
      <c r="K18" s="97" t="n"/>
      <c r="L18" s="97" t="n"/>
      <c r="M18" s="97" t="n"/>
      <c r="N18" s="97" t="n"/>
      <c r="O18" s="97" t="n"/>
      <c r="P18" s="97" t="n"/>
      <c r="Q18" s="97" t="n"/>
      <c r="R18" s="98" t="n"/>
      <c r="S18" s="1" t="n"/>
      <c r="T18" s="1" t="n"/>
      <c r="U18" s="1" t="n"/>
      <c r="V18" s="1" t="n"/>
      <c r="W18" s="1" t="n"/>
      <c r="X18" s="1" t="n"/>
      <c r="Y18" s="1" t="n"/>
      <c r="Z18" s="1" t="n"/>
      <c r="AA18" s="1" t="n"/>
      <c r="AB18" s="1" t="n"/>
    </row>
    <row r="19" ht="12.75" customHeight="1">
      <c r="A19" s="1" t="n"/>
      <c r="B19" s="96" t="n"/>
      <c r="C19" s="97" t="n"/>
      <c r="D19" s="97" t="n"/>
      <c r="E19" s="97" t="n"/>
      <c r="F19" s="97" t="n"/>
      <c r="G19" s="97" t="n"/>
      <c r="H19" s="97" t="n"/>
      <c r="I19" s="97" t="n"/>
      <c r="J19" s="97" t="n"/>
      <c r="K19" s="97" t="n"/>
      <c r="L19" s="97" t="n"/>
      <c r="M19" s="97" t="n"/>
      <c r="N19" s="97" t="n"/>
      <c r="O19" s="97" t="n"/>
      <c r="P19" s="97" t="n"/>
      <c r="Q19" s="97" t="n"/>
      <c r="R19" s="98" t="n"/>
      <c r="S19" s="1" t="n"/>
      <c r="T19" s="1" t="n"/>
      <c r="U19" s="1" t="n"/>
      <c r="V19" s="1" t="n"/>
      <c r="W19" s="1" t="n"/>
      <c r="X19" s="1" t="n"/>
      <c r="Y19" s="1" t="n"/>
      <c r="Z19" s="1" t="n"/>
      <c r="AA19" s="1" t="n"/>
      <c r="AB19" s="1" t="n"/>
    </row>
    <row r="20" ht="14.45" customHeight="1">
      <c r="A20" s="1" t="n"/>
      <c r="B20" s="99" t="n"/>
      <c r="C20" s="100" t="n"/>
      <c r="D20" s="101" t="n"/>
      <c r="E20" s="100" t="n"/>
      <c r="F20" s="100" t="n"/>
      <c r="G20" s="100" t="n"/>
      <c r="H20" s="100" t="n"/>
      <c r="I20" s="100" t="n"/>
      <c r="J20" s="100" t="n"/>
      <c r="K20" s="100" t="n"/>
      <c r="L20" s="100" t="n"/>
      <c r="M20" s="100" t="n"/>
      <c r="N20" s="100" t="n"/>
      <c r="O20" s="100" t="n"/>
      <c r="P20" s="100" t="n"/>
      <c r="Q20" s="100" t="n"/>
      <c r="R20" s="102" t="n"/>
      <c r="S20" s="1" t="n"/>
      <c r="T20" s="1" t="n"/>
      <c r="U20" s="1" t="n"/>
      <c r="V20" s="1" t="n"/>
      <c r="W20" s="1" t="n"/>
      <c r="X20" s="1" t="n"/>
      <c r="Y20" s="1" t="n"/>
      <c r="Z20" s="1" t="n"/>
      <c r="AA20" s="1" t="n"/>
      <c r="AB20" s="1" t="n"/>
    </row>
    <row r="21" ht="14.45" customHeight="1">
      <c r="A21" s="1" t="n"/>
      <c r="B21" s="103" t="n"/>
      <c r="C21" s="104" t="n"/>
      <c r="D21" s="104" t="n"/>
      <c r="E21" s="104" t="n"/>
      <c r="F21" s="104" t="n"/>
      <c r="G21" s="104" t="n"/>
      <c r="H21" s="104" t="n"/>
      <c r="I21" s="104" t="n"/>
      <c r="J21" s="104" t="n"/>
      <c r="K21" s="104" t="n"/>
      <c r="L21" s="104" t="n"/>
      <c r="M21" s="104" t="n"/>
      <c r="N21" s="104" t="n"/>
      <c r="O21" s="104" t="n"/>
      <c r="P21" s="104" t="n"/>
      <c r="Q21" s="104" t="n"/>
      <c r="R21" s="105" t="n"/>
      <c r="S21" s="1" t="n"/>
      <c r="T21" s="1" t="n"/>
      <c r="U21" s="1" t="n"/>
      <c r="V21" s="1" t="n"/>
      <c r="W21" s="1" t="n"/>
      <c r="X21" s="1" t="n"/>
      <c r="Y21" s="1" t="n"/>
      <c r="Z21" s="1" t="n"/>
      <c r="AA21" s="1" t="n"/>
      <c r="AB21" s="1" t="n"/>
    </row>
    <row r="22" ht="12.75" customHeight="1">
      <c r="A22" s="1" t="n"/>
      <c r="B22" s="96" t="n"/>
      <c r="C22" s="97" t="n"/>
      <c r="D22" s="97" t="n"/>
      <c r="E22" s="97" t="n"/>
      <c r="F22" s="97" t="n"/>
      <c r="G22" s="97" t="n"/>
      <c r="H22" s="97" t="n"/>
      <c r="I22" s="97" t="n"/>
      <c r="J22" s="97" t="n"/>
      <c r="K22" s="97" t="n"/>
      <c r="L22" s="97" t="n"/>
      <c r="M22" s="97" t="n"/>
      <c r="N22" s="97" t="n"/>
      <c r="O22" s="97" t="n"/>
      <c r="P22" s="97" t="n"/>
      <c r="Q22" s="97" t="n"/>
      <c r="R22" s="98" t="n"/>
      <c r="S22" s="1" t="n"/>
      <c r="T22" s="1" t="n"/>
      <c r="U22" s="1" t="n"/>
      <c r="V22" s="1" t="n"/>
      <c r="W22" s="1" t="n"/>
      <c r="X22" s="1" t="n"/>
      <c r="Y22" s="1" t="n"/>
      <c r="Z22" s="1" t="n"/>
      <c r="AA22" s="1" t="n"/>
      <c r="AB22" s="1" t="n"/>
    </row>
    <row r="23" ht="12.75" customHeight="1">
      <c r="A23" s="1" t="n"/>
      <c r="B23" s="96" t="n"/>
      <c r="C23" s="97" t="n"/>
      <c r="D23" s="97" t="n"/>
      <c r="E23" s="97" t="n"/>
      <c r="F23" s="97" t="n"/>
      <c r="G23" s="97" t="n"/>
      <c r="H23" s="97" t="n"/>
      <c r="I23" s="97" t="n"/>
      <c r="J23" s="97" t="n"/>
      <c r="K23" s="97" t="n"/>
      <c r="L23" s="97" t="n"/>
      <c r="M23" s="97" t="n"/>
      <c r="N23" s="97" t="n"/>
      <c r="O23" s="97" t="n"/>
      <c r="P23" s="97" t="n"/>
      <c r="Q23" s="97" t="n"/>
      <c r="R23" s="98" t="n"/>
      <c r="S23" s="1" t="n"/>
      <c r="T23" s="1" t="n"/>
      <c r="U23" s="1" t="n"/>
      <c r="V23" s="1" t="n"/>
      <c r="W23" s="1" t="n"/>
      <c r="X23" s="1" t="n"/>
      <c r="Y23" s="1" t="n"/>
      <c r="Z23" s="1" t="n"/>
      <c r="AA23" s="1" t="n"/>
      <c r="AB23" s="1" t="n"/>
    </row>
    <row r="24" ht="14.45" customHeight="1">
      <c r="A24" s="1" t="n"/>
      <c r="B24" s="99" t="n"/>
      <c r="C24" s="100" t="n"/>
      <c r="D24" s="101" t="n"/>
      <c r="E24" s="100" t="n"/>
      <c r="F24" s="100" t="n"/>
      <c r="G24" s="100" t="n"/>
      <c r="H24" s="100" t="n"/>
      <c r="I24" s="100" t="n"/>
      <c r="J24" s="100" t="n"/>
      <c r="K24" s="100" t="n"/>
      <c r="L24" s="100" t="n"/>
      <c r="M24" s="100" t="n"/>
      <c r="N24" s="100" t="n"/>
      <c r="O24" s="100" t="n"/>
      <c r="P24" s="100" t="n"/>
      <c r="Q24" s="100" t="n"/>
      <c r="R24" s="102" t="n"/>
      <c r="S24" s="1" t="n"/>
      <c r="T24" s="1" t="n"/>
      <c r="U24" s="1" t="n"/>
      <c r="V24" s="1" t="n"/>
      <c r="W24" s="1" t="n"/>
      <c r="X24" s="1" t="n"/>
      <c r="Y24" s="1" t="n"/>
      <c r="Z24" s="1" t="n"/>
      <c r="AA24" s="1" t="n"/>
      <c r="AB24" s="1" t="n"/>
    </row>
    <row r="25" ht="14.45" customHeight="1">
      <c r="A25" s="1" t="n"/>
      <c r="B25" s="103" t="n"/>
      <c r="C25" s="104" t="n"/>
      <c r="D25" s="104" t="n"/>
      <c r="E25" s="104" t="n"/>
      <c r="F25" s="104" t="n"/>
      <c r="G25" s="104" t="n"/>
      <c r="H25" s="104" t="n"/>
      <c r="I25" s="104" t="n"/>
      <c r="J25" s="104" t="n"/>
      <c r="K25" s="104" t="n"/>
      <c r="L25" s="104" t="n"/>
      <c r="M25" s="104" t="n"/>
      <c r="N25" s="104" t="n"/>
      <c r="O25" s="104" t="n"/>
      <c r="P25" s="104" t="n"/>
      <c r="Q25" s="104" t="n"/>
      <c r="R25" s="105" t="n"/>
      <c r="S25" s="1" t="n"/>
      <c r="T25" s="1" t="n"/>
      <c r="U25" s="1" t="n"/>
      <c r="V25" s="1" t="n"/>
      <c r="W25" s="1" t="n"/>
      <c r="X25" s="1" t="n"/>
      <c r="Y25" s="1" t="n"/>
      <c r="Z25" s="1" t="n"/>
      <c r="AA25" s="1" t="n"/>
      <c r="AB25" s="1" t="n"/>
    </row>
    <row r="26" ht="12.75" customHeight="1">
      <c r="A26" s="1" t="n"/>
      <c r="B26" s="96" t="n"/>
      <c r="C26" s="97" t="n"/>
      <c r="D26" s="97" t="n"/>
      <c r="E26" s="97" t="n"/>
      <c r="F26" s="97" t="n"/>
      <c r="G26" s="97" t="n"/>
      <c r="H26" s="97" t="n"/>
      <c r="I26" s="97" t="n"/>
      <c r="J26" s="97" t="n"/>
      <c r="K26" s="97" t="n"/>
      <c r="L26" s="97" t="n"/>
      <c r="M26" s="97" t="n"/>
      <c r="N26" s="97" t="n"/>
      <c r="O26" s="97" t="n"/>
      <c r="P26" s="97" t="n"/>
      <c r="Q26" s="97" t="n"/>
      <c r="R26" s="98" t="n"/>
      <c r="S26" s="1" t="n"/>
      <c r="T26" s="1" t="n"/>
      <c r="U26" s="1" t="n"/>
      <c r="V26" s="1" t="n"/>
      <c r="W26" s="1" t="n"/>
      <c r="X26" s="1" t="n"/>
      <c r="Y26" s="1" t="n"/>
      <c r="Z26" s="1" t="n"/>
      <c r="AA26" s="1" t="n"/>
      <c r="AB26" s="1" t="n"/>
    </row>
    <row r="27" ht="12.75" customHeight="1">
      <c r="A27" s="1" t="n"/>
      <c r="B27" s="96" t="n"/>
      <c r="C27" s="97" t="n"/>
      <c r="D27" s="97" t="n"/>
      <c r="E27" s="97" t="n"/>
      <c r="F27" s="97" t="n"/>
      <c r="G27" s="97" t="n"/>
      <c r="H27" s="97" t="n"/>
      <c r="I27" s="97" t="n"/>
      <c r="J27" s="97" t="n"/>
      <c r="K27" s="97" t="n"/>
      <c r="L27" s="97" t="n"/>
      <c r="M27" s="97" t="n"/>
      <c r="N27" s="97" t="n"/>
      <c r="O27" s="97" t="n"/>
      <c r="P27" s="97" t="n"/>
      <c r="Q27" s="97" t="n"/>
      <c r="R27" s="98" t="n"/>
      <c r="S27" s="1" t="n"/>
      <c r="T27" s="1" t="n"/>
      <c r="U27" s="1" t="n"/>
      <c r="V27" s="1" t="n"/>
      <c r="W27" s="1" t="n"/>
      <c r="X27" s="1" t="n"/>
      <c r="Y27" s="1" t="n"/>
      <c r="Z27" s="1" t="n"/>
      <c r="AA27" s="1" t="n"/>
      <c r="AB27" s="1" t="n"/>
    </row>
    <row r="28" ht="12.75" customHeight="1">
      <c r="A28" s="1" t="n"/>
      <c r="B28" s="96" t="n"/>
      <c r="C28" s="97" t="n"/>
      <c r="D28" s="97" t="n"/>
      <c r="E28" s="97" t="n"/>
      <c r="F28" s="97" t="n"/>
      <c r="G28" s="97" t="n"/>
      <c r="H28" s="97" t="n"/>
      <c r="I28" s="97" t="n"/>
      <c r="J28" s="97" t="n"/>
      <c r="K28" s="97" t="n"/>
      <c r="L28" s="97" t="n"/>
      <c r="M28" s="97" t="n"/>
      <c r="N28" s="97" t="n"/>
      <c r="O28" s="97" t="n"/>
      <c r="P28" s="97" t="n"/>
      <c r="Q28" s="97" t="n"/>
      <c r="R28" s="98" t="n"/>
      <c r="S28" s="1" t="n"/>
      <c r="T28" s="1" t="n"/>
      <c r="U28" s="1" t="n"/>
      <c r="V28" s="1" t="n"/>
      <c r="W28" s="1" t="n"/>
      <c r="X28" s="1" t="n"/>
      <c r="Y28" s="1" t="n"/>
      <c r="Z28" s="1" t="n"/>
      <c r="AA28" s="1" t="n"/>
      <c r="AB28" s="1" t="n"/>
    </row>
    <row r="29" ht="14.45" customHeight="1">
      <c r="A29" s="1" t="n"/>
      <c r="B29" s="99" t="n"/>
      <c r="C29" s="100" t="n"/>
      <c r="D29" s="101" t="n"/>
      <c r="E29" s="100" t="n"/>
      <c r="F29" s="100" t="n"/>
      <c r="G29" s="100" t="n"/>
      <c r="H29" s="100" t="n"/>
      <c r="I29" s="100" t="n"/>
      <c r="J29" s="100" t="n"/>
      <c r="K29" s="100" t="n"/>
      <c r="L29" s="100" t="n"/>
      <c r="M29" s="100" t="n"/>
      <c r="N29" s="100" t="n"/>
      <c r="O29" s="100" t="n"/>
      <c r="P29" s="100" t="n"/>
      <c r="Q29" s="100" t="n"/>
      <c r="R29" s="102" t="n"/>
      <c r="S29" s="1" t="n"/>
      <c r="T29" s="1" t="n"/>
      <c r="U29" s="1" t="n"/>
      <c r="V29" s="1" t="n"/>
      <c r="W29" s="1" t="n"/>
      <c r="X29" s="1" t="n"/>
      <c r="Y29" s="1" t="n"/>
      <c r="Z29" s="1" t="n"/>
      <c r="AA29" s="1" t="n"/>
      <c r="AB29" s="1" t="n"/>
    </row>
    <row r="30" ht="14.45" customHeight="1">
      <c r="A30" s="1" t="n"/>
      <c r="B30" s="103" t="n"/>
      <c r="C30" s="104" t="n"/>
      <c r="D30" s="104" t="n"/>
      <c r="E30" s="104" t="n"/>
      <c r="F30" s="104" t="n"/>
      <c r="G30" s="104" t="n"/>
      <c r="H30" s="104" t="n"/>
      <c r="I30" s="104" t="n"/>
      <c r="J30" s="104" t="n"/>
      <c r="K30" s="104" t="n"/>
      <c r="L30" s="104" t="n"/>
      <c r="M30" s="104" t="n"/>
      <c r="N30" s="104" t="n"/>
      <c r="O30" s="104" t="n"/>
      <c r="P30" s="104" t="n"/>
      <c r="Q30" s="104" t="n"/>
      <c r="R30" s="105" t="n"/>
      <c r="S30" s="1" t="n"/>
      <c r="T30" s="1" t="n"/>
      <c r="U30" s="1" t="n"/>
      <c r="V30" s="1" t="n"/>
      <c r="W30" s="1" t="n"/>
      <c r="X30" s="1" t="n"/>
      <c r="Y30" s="1" t="n"/>
      <c r="Z30" s="1" t="n"/>
      <c r="AA30" s="1" t="n"/>
      <c r="AB30" s="1" t="n"/>
    </row>
    <row r="31" ht="12.75" customHeight="1">
      <c r="A31" s="1" t="n"/>
      <c r="B31" s="96" t="n"/>
      <c r="C31" s="97" t="n"/>
      <c r="D31" s="97" t="n"/>
      <c r="E31" s="97" t="n"/>
      <c r="F31" s="97" t="n"/>
      <c r="G31" s="97" t="n"/>
      <c r="H31" s="97" t="n"/>
      <c r="I31" s="97" t="n"/>
      <c r="J31" s="97" t="n"/>
      <c r="K31" s="97" t="n"/>
      <c r="L31" s="97" t="n"/>
      <c r="M31" s="97" t="n"/>
      <c r="N31" s="97" t="n"/>
      <c r="O31" s="97" t="n"/>
      <c r="P31" s="97" t="n"/>
      <c r="Q31" s="97" t="n"/>
      <c r="R31" s="98" t="n"/>
      <c r="S31" s="1" t="n"/>
      <c r="T31" s="1" t="n"/>
      <c r="U31" s="1" t="n"/>
      <c r="V31" s="1" t="n"/>
      <c r="W31" s="1" t="n"/>
      <c r="X31" s="1" t="n"/>
      <c r="Y31" s="1" t="n"/>
      <c r="Z31" s="1" t="n"/>
      <c r="AA31" s="1" t="n"/>
      <c r="AB31" s="1" t="n"/>
    </row>
    <row r="32" ht="12.75" customHeight="1">
      <c r="A32" s="1" t="n"/>
      <c r="B32" s="96" t="n"/>
      <c r="C32" s="97" t="n"/>
      <c r="D32" s="97" t="n"/>
      <c r="E32" s="97" t="n"/>
      <c r="F32" s="97" t="n"/>
      <c r="G32" s="97" t="n"/>
      <c r="H32" s="97" t="n"/>
      <c r="I32" s="97" t="n"/>
      <c r="J32" s="97" t="n"/>
      <c r="K32" s="97" t="n"/>
      <c r="L32" s="97" t="n"/>
      <c r="M32" s="97" t="n"/>
      <c r="N32" s="97" t="n"/>
      <c r="O32" s="97" t="n"/>
      <c r="P32" s="97" t="n"/>
      <c r="Q32" s="97" t="n"/>
      <c r="R32" s="98" t="n"/>
      <c r="S32" s="1" t="n"/>
      <c r="T32" s="1" t="n"/>
      <c r="U32" s="1" t="n"/>
      <c r="V32" s="1" t="n"/>
      <c r="W32" s="1" t="n"/>
      <c r="X32" s="1" t="n"/>
      <c r="Y32" s="1" t="n"/>
      <c r="Z32" s="1" t="n"/>
      <c r="AA32" s="1" t="n"/>
      <c r="AB32" s="1" t="n"/>
    </row>
    <row r="33" ht="12.75" customHeight="1">
      <c r="A33" s="1" t="n"/>
      <c r="B33" s="96" t="n"/>
      <c r="C33" s="97" t="n"/>
      <c r="D33" s="97" t="n"/>
      <c r="E33" s="97" t="n"/>
      <c r="F33" s="97" t="n"/>
      <c r="G33" s="97" t="n"/>
      <c r="H33" s="97" t="n"/>
      <c r="I33" s="97" t="n"/>
      <c r="J33" s="97" t="n"/>
      <c r="K33" s="97" t="n"/>
      <c r="L33" s="97" t="n"/>
      <c r="M33" s="97" t="n"/>
      <c r="N33" s="97" t="n"/>
      <c r="O33" s="97" t="n"/>
      <c r="P33" s="97" t="n"/>
      <c r="Q33" s="97" t="n"/>
      <c r="R33" s="98" t="n"/>
      <c r="S33" s="1" t="n"/>
      <c r="T33" s="1" t="n"/>
      <c r="U33" s="1" t="n"/>
      <c r="V33" s="1" t="n"/>
      <c r="W33" s="1" t="n"/>
      <c r="X33" s="1" t="n"/>
      <c r="Y33" s="1" t="n"/>
      <c r="Z33" s="1" t="n"/>
      <c r="AA33" s="1" t="n"/>
      <c r="AB33" s="1" t="n"/>
    </row>
    <row r="34" ht="12.75" customHeight="1">
      <c r="A34" s="1" t="n"/>
      <c r="B34" s="96" t="n"/>
      <c r="C34" s="97" t="n"/>
      <c r="D34" s="97" t="n"/>
      <c r="E34" s="97" t="n"/>
      <c r="F34" s="97" t="n"/>
      <c r="G34" s="97" t="n"/>
      <c r="H34" s="97" t="n"/>
      <c r="I34" s="97" t="n"/>
      <c r="J34" s="97" t="n"/>
      <c r="K34" s="97" t="n"/>
      <c r="L34" s="97" t="n"/>
      <c r="M34" s="97" t="n"/>
      <c r="N34" s="97" t="n"/>
      <c r="O34" s="97" t="n"/>
      <c r="P34" s="97" t="n"/>
      <c r="Q34" s="97" t="n"/>
      <c r="R34" s="98" t="n"/>
      <c r="S34" s="1" t="n"/>
      <c r="T34" s="1" t="n"/>
      <c r="U34" s="1" t="n"/>
      <c r="V34" s="1" t="n"/>
      <c r="W34" s="1" t="n"/>
      <c r="X34" s="1" t="n"/>
      <c r="Y34" s="1" t="n"/>
      <c r="Z34" s="1" t="n"/>
      <c r="AA34" s="1" t="n"/>
      <c r="AB34" s="1" t="n"/>
    </row>
    <row r="35" ht="14.45" customHeight="1">
      <c r="A35" s="1" t="n"/>
      <c r="B35" s="99" t="n"/>
      <c r="C35" s="100" t="n"/>
      <c r="D35" s="101" t="n"/>
      <c r="E35" s="100" t="n"/>
      <c r="F35" s="100" t="n"/>
      <c r="G35" s="100" t="n"/>
      <c r="H35" s="100" t="n"/>
      <c r="I35" s="100" t="n"/>
      <c r="J35" s="100" t="n"/>
      <c r="K35" s="100" t="n"/>
      <c r="L35" s="100" t="n"/>
      <c r="M35" s="100" t="n"/>
      <c r="N35" s="100" t="n"/>
      <c r="O35" s="100" t="n"/>
      <c r="P35" s="100" t="n"/>
      <c r="Q35" s="100" t="n"/>
      <c r="R35" s="102" t="n"/>
      <c r="S35" s="1" t="n"/>
      <c r="T35" s="1" t="n"/>
      <c r="U35" s="1" t="n"/>
      <c r="V35" s="1" t="n"/>
      <c r="W35" s="1" t="n"/>
      <c r="X35" s="1" t="n"/>
      <c r="Y35" s="1" t="n"/>
      <c r="Z35" s="1" t="n"/>
      <c r="AA35" s="1" t="n"/>
      <c r="AB35" s="1" t="n"/>
    </row>
    <row r="36" ht="14.45" customHeight="1">
      <c r="A36" s="1" t="n"/>
      <c r="B36" s="103" t="n"/>
      <c r="C36" s="104" t="n"/>
      <c r="D36" s="104" t="n"/>
      <c r="E36" s="104" t="n"/>
      <c r="F36" s="104" t="n"/>
      <c r="G36" s="104" t="n"/>
      <c r="H36" s="104" t="n"/>
      <c r="I36" s="104" t="n"/>
      <c r="J36" s="104" t="n"/>
      <c r="K36" s="104" t="n"/>
      <c r="L36" s="104" t="n"/>
      <c r="M36" s="104" t="n"/>
      <c r="N36" s="104" t="n"/>
      <c r="O36" s="104" t="n"/>
      <c r="P36" s="104" t="n"/>
      <c r="Q36" s="104" t="n"/>
      <c r="R36" s="105" t="n"/>
      <c r="S36" s="1" t="n"/>
      <c r="T36" s="1" t="n"/>
      <c r="U36" s="1" t="n"/>
      <c r="V36" s="1" t="n"/>
      <c r="W36" s="1" t="n"/>
      <c r="X36" s="1" t="n"/>
      <c r="Y36" s="1" t="n"/>
      <c r="Z36" s="1" t="n"/>
      <c r="AA36" s="1" t="n"/>
      <c r="AB36" s="1" t="n"/>
    </row>
    <row r="37" ht="12.75" customHeight="1">
      <c r="A37" s="1" t="n"/>
      <c r="B37" s="96" t="n"/>
      <c r="C37" s="97" t="n"/>
      <c r="D37" s="97" t="n"/>
      <c r="E37" s="97" t="n"/>
      <c r="F37" s="97" t="n"/>
      <c r="G37" s="97" t="n"/>
      <c r="H37" s="97" t="n"/>
      <c r="I37" s="97" t="n"/>
      <c r="J37" s="97" t="n"/>
      <c r="K37" s="97" t="n"/>
      <c r="L37" s="97" t="n"/>
      <c r="M37" s="97" t="n"/>
      <c r="N37" s="97" t="n"/>
      <c r="O37" s="97" t="n"/>
      <c r="P37" s="97" t="n"/>
      <c r="Q37" s="97" t="n"/>
      <c r="R37" s="98" t="n"/>
      <c r="S37" s="1" t="n"/>
      <c r="T37" s="1" t="n"/>
      <c r="U37" s="1" t="n"/>
      <c r="V37" s="1" t="n"/>
      <c r="W37" s="1" t="n"/>
      <c r="X37" s="1" t="n"/>
      <c r="Y37" s="1" t="n"/>
      <c r="Z37" s="1" t="n"/>
      <c r="AA37" s="1" t="n"/>
      <c r="AB37" s="1" t="n"/>
    </row>
    <row r="38" ht="12.75" customHeight="1">
      <c r="A38" s="1" t="n"/>
      <c r="B38" s="96" t="n"/>
      <c r="C38" s="97" t="n"/>
      <c r="D38" s="97" t="n"/>
      <c r="E38" s="97" t="n"/>
      <c r="F38" s="97" t="n"/>
      <c r="G38" s="97" t="n"/>
      <c r="H38" s="97" t="n"/>
      <c r="I38" s="97" t="n"/>
      <c r="J38" s="97" t="n"/>
      <c r="K38" s="97" t="n"/>
      <c r="L38" s="97" t="n"/>
      <c r="M38" s="97" t="n"/>
      <c r="N38" s="97" t="n"/>
      <c r="O38" s="97" t="n"/>
      <c r="P38" s="97" t="n"/>
      <c r="Q38" s="97" t="n"/>
      <c r="R38" s="98" t="n"/>
      <c r="S38" s="1" t="n"/>
      <c r="T38" s="1" t="n"/>
      <c r="U38" s="1" t="n"/>
      <c r="V38" s="1" t="n"/>
      <c r="W38" s="1" t="n"/>
      <c r="X38" s="1" t="n"/>
      <c r="Y38" s="1" t="n"/>
      <c r="Z38" s="1" t="n"/>
      <c r="AA38" s="1" t="n"/>
      <c r="AB38" s="1" t="n"/>
    </row>
    <row r="39" ht="14.45" customHeight="1">
      <c r="A39" s="1" t="n"/>
      <c r="B39" s="99" t="n"/>
      <c r="C39" s="100" t="n"/>
      <c r="D39" s="101" t="n"/>
      <c r="E39" s="100" t="n"/>
      <c r="F39" s="100" t="n"/>
      <c r="G39" s="100" t="n"/>
      <c r="H39" s="100" t="n"/>
      <c r="I39" s="100" t="n"/>
      <c r="J39" s="100" t="n"/>
      <c r="K39" s="100" t="n"/>
      <c r="L39" s="100" t="n"/>
      <c r="M39" s="100" t="n"/>
      <c r="N39" s="100" t="n"/>
      <c r="O39" s="100" t="n"/>
      <c r="P39" s="100" t="n"/>
      <c r="Q39" s="100" t="n"/>
      <c r="R39" s="102" t="n"/>
      <c r="S39" s="1" t="n"/>
      <c r="T39" s="1" t="n"/>
      <c r="U39" s="1" t="n"/>
      <c r="V39" s="1" t="n"/>
      <c r="W39" s="1" t="n"/>
      <c r="X39" s="1" t="n"/>
      <c r="Y39" s="1" t="n"/>
      <c r="Z39" s="1" t="n"/>
      <c r="AA39" s="1" t="n"/>
      <c r="AB39" s="1" t="n"/>
    </row>
    <row r="40" ht="14.45" customHeight="1">
      <c r="A40" s="1" t="n"/>
      <c r="B40" s="103" t="n"/>
      <c r="C40" s="104" t="n"/>
      <c r="D40" s="104" t="n"/>
      <c r="E40" s="104" t="n"/>
      <c r="F40" s="104" t="n"/>
      <c r="G40" s="104" t="n"/>
      <c r="H40" s="104" t="n"/>
      <c r="I40" s="104" t="n"/>
      <c r="J40" s="104" t="n"/>
      <c r="K40" s="104" t="n"/>
      <c r="L40" s="104" t="n"/>
      <c r="M40" s="104" t="n"/>
      <c r="N40" s="104" t="n"/>
      <c r="O40" s="104" t="n"/>
      <c r="P40" s="104" t="n"/>
      <c r="Q40" s="104" t="n"/>
      <c r="R40" s="105" t="n"/>
      <c r="S40" s="1" t="n"/>
      <c r="T40" s="1" t="n"/>
      <c r="U40" s="1" t="n"/>
      <c r="V40" s="1" t="n"/>
      <c r="W40" s="1" t="n"/>
      <c r="X40" s="1" t="n"/>
      <c r="Y40" s="1" t="n"/>
      <c r="Z40" s="1" t="n"/>
      <c r="AA40" s="1" t="n"/>
      <c r="AB40" s="1" t="n"/>
    </row>
    <row r="41" ht="12.75" customHeight="1">
      <c r="A41" s="1" t="n"/>
      <c r="B41" s="96" t="n"/>
      <c r="C41" s="97" t="n"/>
      <c r="D41" s="97" t="n"/>
      <c r="E41" s="97" t="n"/>
      <c r="F41" s="97" t="n"/>
      <c r="G41" s="97" t="n"/>
      <c r="H41" s="97" t="n"/>
      <c r="I41" s="97" t="n"/>
      <c r="J41" s="97" t="n"/>
      <c r="K41" s="97" t="n"/>
      <c r="L41" s="97" t="n"/>
      <c r="M41" s="97" t="n"/>
      <c r="N41" s="97" t="n"/>
      <c r="O41" s="97" t="n"/>
      <c r="P41" s="97" t="n"/>
      <c r="Q41" s="97" t="n"/>
      <c r="R41" s="98" t="n"/>
      <c r="S41" s="1" t="n"/>
      <c r="T41" s="1" t="n"/>
      <c r="U41" s="1" t="n"/>
      <c r="V41" s="1" t="n"/>
      <c r="W41" s="1" t="n"/>
      <c r="X41" s="1" t="n"/>
      <c r="Y41" s="1" t="n"/>
      <c r="Z41" s="1" t="n"/>
      <c r="AA41" s="1" t="n"/>
      <c r="AB41" s="1" t="n"/>
    </row>
    <row r="42" ht="12.75" customHeight="1">
      <c r="A42" s="1" t="n"/>
      <c r="B42" s="96" t="n"/>
      <c r="C42" s="97" t="n"/>
      <c r="D42" s="97" t="n"/>
      <c r="E42" s="97" t="n"/>
      <c r="F42" s="97" t="n"/>
      <c r="G42" s="97" t="n"/>
      <c r="H42" s="97" t="n"/>
      <c r="I42" s="97" t="n"/>
      <c r="J42" s="97" t="n"/>
      <c r="K42" s="97" t="n"/>
      <c r="L42" s="97" t="n"/>
      <c r="M42" s="97" t="n"/>
      <c r="N42" s="97" t="n"/>
      <c r="O42" s="97" t="n"/>
      <c r="P42" s="97" t="n"/>
      <c r="Q42" s="97" t="n"/>
      <c r="R42" s="98" t="n"/>
      <c r="S42" s="1" t="n"/>
      <c r="T42" s="1" t="n"/>
      <c r="U42" s="1" t="n"/>
      <c r="V42" s="1" t="n"/>
      <c r="W42" s="1" t="n"/>
      <c r="X42" s="1" t="n"/>
      <c r="Y42" s="1" t="n"/>
      <c r="Z42" s="1" t="n"/>
      <c r="AA42" s="1" t="n"/>
      <c r="AB42" s="1" t="n"/>
    </row>
    <row r="43" ht="12.75" customHeight="1">
      <c r="A43" s="1" t="n"/>
      <c r="B43" s="96" t="n"/>
      <c r="C43" s="97" t="n"/>
      <c r="D43" s="97" t="n"/>
      <c r="E43" s="97" t="n"/>
      <c r="F43" s="97" t="n"/>
      <c r="G43" s="97" t="n"/>
      <c r="H43" s="97" t="n"/>
      <c r="I43" s="97" t="n"/>
      <c r="J43" s="97" t="n"/>
      <c r="K43" s="97" t="n"/>
      <c r="L43" s="97" t="n"/>
      <c r="M43" s="97" t="n"/>
      <c r="N43" s="97" t="n"/>
      <c r="O43" s="97" t="n"/>
      <c r="P43" s="97" t="n"/>
      <c r="Q43" s="97" t="n"/>
      <c r="R43" s="98" t="n"/>
      <c r="S43" s="1" t="n"/>
      <c r="T43" s="1" t="n"/>
      <c r="U43" s="1" t="n"/>
      <c r="V43" s="1" t="n"/>
      <c r="W43" s="1" t="n"/>
      <c r="X43" s="1" t="n"/>
      <c r="Y43" s="1" t="n"/>
      <c r="Z43" s="1" t="n"/>
      <c r="AA43" s="1" t="n"/>
      <c r="AB43" s="1" t="n"/>
    </row>
    <row r="44" ht="12.75" customHeight="1">
      <c r="A44" s="1" t="n"/>
      <c r="B44" s="96" t="n"/>
      <c r="C44" s="97" t="n"/>
      <c r="D44" s="97" t="n"/>
      <c r="E44" s="97" t="n"/>
      <c r="F44" s="97" t="n"/>
      <c r="G44" s="97" t="n"/>
      <c r="H44" s="97" t="n"/>
      <c r="I44" s="97" t="n"/>
      <c r="J44" s="97" t="n"/>
      <c r="K44" s="97" t="n"/>
      <c r="L44" s="97" t="n"/>
      <c r="M44" s="97" t="n"/>
      <c r="N44" s="97" t="n"/>
      <c r="O44" s="97" t="n"/>
      <c r="P44" s="97" t="n"/>
      <c r="Q44" s="97" t="n"/>
      <c r="R44" s="98" t="n"/>
      <c r="S44" s="1" t="n"/>
      <c r="T44" s="1" t="n"/>
      <c r="U44" s="1" t="n"/>
      <c r="V44" s="1" t="n"/>
      <c r="W44" s="1" t="n"/>
      <c r="X44" s="1" t="n"/>
      <c r="Y44" s="1" t="n"/>
      <c r="Z44" s="1" t="n"/>
      <c r="AA44" s="1" t="n"/>
      <c r="AB44" s="1" t="n"/>
    </row>
    <row r="45" ht="12.75" customHeight="1">
      <c r="A45" s="1" t="n"/>
      <c r="B45" s="96" t="n"/>
      <c r="C45" s="97" t="n"/>
      <c r="D45" s="97" t="n"/>
      <c r="E45" s="97" t="n"/>
      <c r="F45" s="97" t="n"/>
      <c r="G45" s="97" t="n"/>
      <c r="H45" s="97" t="n"/>
      <c r="I45" s="97" t="n"/>
      <c r="J45" s="97" t="n"/>
      <c r="K45" s="97" t="n"/>
      <c r="L45" s="97" t="n"/>
      <c r="M45" s="97" t="n"/>
      <c r="N45" s="97" t="n"/>
      <c r="O45" s="97" t="n"/>
      <c r="P45" s="97" t="n"/>
      <c r="Q45" s="97" t="n"/>
      <c r="R45" s="98" t="n"/>
      <c r="S45" s="1" t="n"/>
      <c r="T45" s="1" t="n"/>
      <c r="U45" s="1" t="n"/>
      <c r="V45" s="1" t="n"/>
      <c r="W45" s="1" t="n"/>
      <c r="X45" s="1" t="n"/>
      <c r="Y45" s="1" t="n"/>
      <c r="Z45" s="1" t="n"/>
      <c r="AA45" s="1" t="n"/>
      <c r="AB45" s="1" t="n"/>
    </row>
    <row r="46" ht="12.75" customHeight="1">
      <c r="A46" s="1" t="n"/>
      <c r="B46" s="96" t="n"/>
      <c r="C46" s="97" t="n"/>
      <c r="D46" s="97" t="n"/>
      <c r="E46" s="97" t="n"/>
      <c r="F46" s="97" t="n"/>
      <c r="G46" s="97" t="n"/>
      <c r="H46" s="97" t="n"/>
      <c r="I46" s="97" t="n"/>
      <c r="J46" s="97" t="n"/>
      <c r="K46" s="97" t="n"/>
      <c r="L46" s="97" t="n"/>
      <c r="M46" s="97" t="n"/>
      <c r="N46" s="97" t="n"/>
      <c r="O46" s="97" t="n"/>
      <c r="P46" s="97" t="n"/>
      <c r="Q46" s="97" t="n"/>
      <c r="R46" s="98" t="n"/>
      <c r="S46" s="1" t="n"/>
      <c r="T46" s="1" t="n"/>
      <c r="U46" s="1" t="n"/>
      <c r="V46" s="1" t="n"/>
      <c r="W46" s="1" t="n"/>
      <c r="X46" s="1" t="n"/>
      <c r="Y46" s="1" t="n"/>
      <c r="Z46" s="1" t="n"/>
      <c r="AA46" s="1" t="n"/>
      <c r="AB46" s="1" t="n"/>
    </row>
    <row r="47" ht="12.75" customHeight="1">
      <c r="A47" s="1" t="n"/>
      <c r="B47" s="96" t="n"/>
      <c r="C47" s="97" t="n"/>
      <c r="D47" s="97" t="n"/>
      <c r="E47" s="97" t="n"/>
      <c r="F47" s="97" t="n"/>
      <c r="G47" s="97" t="n"/>
      <c r="H47" s="97" t="n"/>
      <c r="I47" s="97" t="n"/>
      <c r="J47" s="97" t="n"/>
      <c r="K47" s="97" t="n"/>
      <c r="L47" s="97" t="n"/>
      <c r="M47" s="97" t="n"/>
      <c r="N47" s="97" t="n"/>
      <c r="O47" s="97" t="n"/>
      <c r="P47" s="97" t="n"/>
      <c r="Q47" s="97" t="n"/>
      <c r="R47" s="98" t="n"/>
      <c r="S47" s="1" t="n"/>
      <c r="T47" s="1" t="n"/>
      <c r="U47" s="1" t="n"/>
      <c r="V47" s="1" t="n"/>
      <c r="W47" s="1" t="n"/>
      <c r="X47" s="1" t="n"/>
      <c r="Y47" s="1" t="n"/>
      <c r="Z47" s="1" t="n"/>
      <c r="AA47" s="1" t="n"/>
      <c r="AB47" s="1" t="n"/>
    </row>
    <row r="48" ht="14.45" customHeight="1">
      <c r="A48" s="1" t="n"/>
      <c r="B48" s="99" t="n"/>
      <c r="C48" s="100" t="n"/>
      <c r="D48" s="101" t="n"/>
      <c r="E48" s="100" t="n"/>
      <c r="F48" s="100" t="n"/>
      <c r="G48" s="100" t="n"/>
      <c r="H48" s="100" t="n"/>
      <c r="I48" s="100" t="n"/>
      <c r="J48" s="100" t="n"/>
      <c r="K48" s="100" t="n"/>
      <c r="L48" s="100" t="n"/>
      <c r="M48" s="100" t="n"/>
      <c r="N48" s="100" t="n"/>
      <c r="O48" s="100" t="n"/>
      <c r="P48" s="100" t="n"/>
      <c r="Q48" s="100" t="n"/>
      <c r="R48" s="102" t="n"/>
      <c r="S48" s="1" t="n"/>
      <c r="T48" s="1" t="n"/>
      <c r="U48" s="1" t="n"/>
      <c r="V48" s="1" t="n"/>
      <c r="W48" s="1" t="n"/>
      <c r="X48" s="1" t="n"/>
      <c r="Y48" s="1" t="n"/>
      <c r="Z48" s="1" t="n"/>
      <c r="AA48" s="1" t="n"/>
      <c r="AB48" s="1" t="n"/>
    </row>
    <row r="49" ht="14.45" customHeight="1">
      <c r="A49" s="1" t="n"/>
      <c r="B49" s="103" t="n"/>
      <c r="C49" s="104" t="n"/>
      <c r="D49" s="104" t="n"/>
      <c r="E49" s="104" t="n"/>
      <c r="F49" s="104" t="n"/>
      <c r="G49" s="104" t="n"/>
      <c r="H49" s="104" t="n"/>
      <c r="I49" s="104" t="n"/>
      <c r="J49" s="104" t="n"/>
      <c r="K49" s="104" t="n"/>
      <c r="L49" s="104" t="n"/>
      <c r="M49" s="104" t="n"/>
      <c r="N49" s="104" t="n"/>
      <c r="O49" s="104" t="n"/>
      <c r="P49" s="104" t="n"/>
      <c r="Q49" s="104" t="n"/>
      <c r="R49" s="105" t="n"/>
      <c r="S49" s="1" t="n"/>
      <c r="T49" s="1" t="n"/>
      <c r="U49" s="1" t="n"/>
      <c r="V49" s="1" t="n"/>
      <c r="W49" s="1" t="n"/>
      <c r="X49" s="1" t="n"/>
      <c r="Y49" s="1" t="n"/>
      <c r="Z49" s="1" t="n"/>
      <c r="AA49" s="1" t="n"/>
      <c r="AB49" s="1" t="n"/>
    </row>
    <row r="50" ht="12.75" customHeight="1">
      <c r="A50" s="1" t="n"/>
      <c r="B50" s="96" t="n"/>
      <c r="C50" s="97" t="n"/>
      <c r="D50" s="97" t="n"/>
      <c r="E50" s="97" t="n"/>
      <c r="F50" s="97" t="n"/>
      <c r="G50" s="97" t="n"/>
      <c r="H50" s="97" t="n"/>
      <c r="I50" s="97" t="n"/>
      <c r="J50" s="97" t="n"/>
      <c r="K50" s="97" t="n"/>
      <c r="L50" s="97" t="n"/>
      <c r="M50" s="97" t="n"/>
      <c r="N50" s="97" t="n"/>
      <c r="O50" s="97" t="n"/>
      <c r="P50" s="97" t="n"/>
      <c r="Q50" s="97" t="n"/>
      <c r="R50" s="98" t="n"/>
      <c r="S50" s="1" t="n"/>
      <c r="T50" s="1" t="n"/>
      <c r="U50" s="1" t="n"/>
      <c r="V50" s="1" t="n"/>
      <c r="W50" s="1" t="n"/>
      <c r="X50" s="1" t="n"/>
      <c r="Y50" s="1" t="n"/>
      <c r="Z50" s="1" t="n"/>
      <c r="AA50" s="1" t="n"/>
      <c r="AB50" s="1" t="n"/>
    </row>
    <row r="51" ht="12.75" customHeight="1">
      <c r="A51" s="1" t="n"/>
      <c r="B51" s="96" t="n"/>
      <c r="C51" s="97" t="n"/>
      <c r="D51" s="97" t="n"/>
      <c r="E51" s="97" t="n"/>
      <c r="F51" s="97" t="n"/>
      <c r="G51" s="97" t="n"/>
      <c r="H51" s="97" t="n"/>
      <c r="I51" s="97" t="n"/>
      <c r="J51" s="97" t="n"/>
      <c r="K51" s="97" t="n"/>
      <c r="L51" s="97" t="n"/>
      <c r="M51" s="97" t="n"/>
      <c r="N51" s="97" t="n"/>
      <c r="O51" s="97" t="n"/>
      <c r="P51" s="97" t="n"/>
      <c r="Q51" s="97" t="n"/>
      <c r="R51" s="98" t="n"/>
      <c r="S51" s="1" t="n"/>
      <c r="T51" s="1" t="n"/>
      <c r="U51" s="1" t="n"/>
      <c r="V51" s="1" t="n"/>
      <c r="W51" s="1" t="n"/>
      <c r="X51" s="1" t="n"/>
      <c r="Y51" s="1" t="n"/>
      <c r="Z51" s="1" t="n"/>
      <c r="AA51" s="1" t="n"/>
      <c r="AB51" s="1" t="n"/>
    </row>
    <row r="52" ht="14.45" customHeight="1">
      <c r="A52" s="1" t="n"/>
      <c r="B52" s="99" t="n"/>
      <c r="C52" s="100" t="n"/>
      <c r="D52" s="101" t="n"/>
      <c r="E52" s="100" t="n"/>
      <c r="F52" s="100" t="n"/>
      <c r="G52" s="100" t="n"/>
      <c r="H52" s="100" t="n"/>
      <c r="I52" s="100" t="n"/>
      <c r="J52" s="100" t="n"/>
      <c r="K52" s="100" t="n"/>
      <c r="L52" s="100" t="n"/>
      <c r="M52" s="100" t="n"/>
      <c r="N52" s="100" t="n"/>
      <c r="O52" s="100" t="n"/>
      <c r="P52" s="100" t="n"/>
      <c r="Q52" s="100" t="n"/>
      <c r="R52" s="102" t="n"/>
      <c r="S52" s="1" t="n"/>
      <c r="T52" s="1" t="n"/>
      <c r="U52" s="1" t="n"/>
      <c r="V52" s="1" t="n"/>
      <c r="W52" s="1" t="n"/>
      <c r="X52" s="1" t="n"/>
      <c r="Y52" s="1" t="n"/>
      <c r="Z52" s="1" t="n"/>
      <c r="AA52" s="1" t="n"/>
      <c r="AB52" s="1" t="n"/>
    </row>
    <row r="53" ht="14.45" customHeight="1">
      <c r="A53" s="1" t="n"/>
      <c r="B53" s="103" t="n"/>
      <c r="C53" s="104" t="n"/>
      <c r="D53" s="104" t="n"/>
      <c r="E53" s="104" t="n"/>
      <c r="F53" s="104" t="n"/>
      <c r="G53" s="104" t="n"/>
      <c r="H53" s="104" t="n"/>
      <c r="I53" s="104" t="n"/>
      <c r="J53" s="104" t="n"/>
      <c r="K53" s="104" t="n"/>
      <c r="L53" s="104" t="n"/>
      <c r="M53" s="104" t="n"/>
      <c r="N53" s="104" t="n"/>
      <c r="O53" s="104" t="n"/>
      <c r="P53" s="104" t="n"/>
      <c r="Q53" s="104" t="n"/>
      <c r="R53" s="105" t="n"/>
      <c r="S53" s="1" t="n"/>
      <c r="T53" s="1" t="n"/>
      <c r="U53" s="1" t="n"/>
      <c r="V53" s="1" t="n"/>
      <c r="W53" s="1" t="n"/>
      <c r="X53" s="1" t="n"/>
      <c r="Y53" s="1" t="n"/>
      <c r="Z53" s="1" t="n"/>
      <c r="AA53" s="1" t="n"/>
      <c r="AB53" s="1" t="n"/>
    </row>
    <row r="54" ht="12.75" customHeight="1">
      <c r="A54" s="1" t="n"/>
      <c r="B54" s="96" t="n"/>
      <c r="C54" s="97" t="n"/>
      <c r="D54" s="97" t="n"/>
      <c r="E54" s="97" t="n"/>
      <c r="F54" s="97" t="n"/>
      <c r="G54" s="97" t="n"/>
      <c r="H54" s="97" t="n"/>
      <c r="I54" s="97" t="n"/>
      <c r="J54" s="97" t="n"/>
      <c r="K54" s="97" t="n"/>
      <c r="L54" s="97" t="n"/>
      <c r="M54" s="97" t="n"/>
      <c r="N54" s="97" t="n"/>
      <c r="O54" s="97" t="n"/>
      <c r="P54" s="97" t="n"/>
      <c r="Q54" s="97" t="n"/>
      <c r="R54" s="98" t="n"/>
      <c r="S54" s="1" t="n"/>
      <c r="T54" s="1" t="n"/>
      <c r="U54" s="1" t="n"/>
      <c r="V54" s="1" t="n"/>
      <c r="W54" s="1" t="n"/>
      <c r="X54" s="1" t="n"/>
      <c r="Y54" s="1" t="n"/>
      <c r="Z54" s="1" t="n"/>
      <c r="AA54" s="1" t="n"/>
      <c r="AB54" s="1" t="n"/>
    </row>
    <row r="55" ht="12.75" customHeight="1">
      <c r="A55" s="1" t="n"/>
      <c r="B55" s="96" t="n"/>
      <c r="C55" s="97" t="n"/>
      <c r="D55" s="97" t="n"/>
      <c r="E55" s="97" t="n"/>
      <c r="F55" s="97" t="n"/>
      <c r="G55" s="97" t="n"/>
      <c r="H55" s="97" t="n"/>
      <c r="I55" s="97" t="n"/>
      <c r="J55" s="97" t="n"/>
      <c r="K55" s="97" t="n"/>
      <c r="L55" s="97" t="n"/>
      <c r="M55" s="97" t="n"/>
      <c r="N55" s="97" t="n"/>
      <c r="O55" s="97" t="n"/>
      <c r="P55" s="97" t="n"/>
      <c r="Q55" s="97" t="n"/>
      <c r="R55" s="98" t="n"/>
      <c r="S55" s="1" t="n"/>
      <c r="T55" s="1" t="n"/>
      <c r="U55" s="1" t="n"/>
      <c r="V55" s="1" t="n"/>
      <c r="W55" s="1" t="n"/>
      <c r="X55" s="1" t="n"/>
      <c r="Y55" s="1" t="n"/>
      <c r="Z55" s="1" t="n"/>
      <c r="AA55" s="1" t="n"/>
      <c r="AB55" s="1" t="n"/>
    </row>
    <row r="56" ht="12.75" customHeight="1">
      <c r="A56" s="1" t="n"/>
      <c r="B56" s="96" t="n"/>
      <c r="C56" s="97" t="n"/>
      <c r="D56" s="97" t="n"/>
      <c r="E56" s="97" t="n"/>
      <c r="F56" s="97" t="n"/>
      <c r="G56" s="97" t="n"/>
      <c r="H56" s="97" t="n"/>
      <c r="I56" s="97" t="n"/>
      <c r="J56" s="97" t="n"/>
      <c r="K56" s="97" t="n"/>
      <c r="L56" s="97" t="n"/>
      <c r="M56" s="97" t="n"/>
      <c r="N56" s="97" t="n"/>
      <c r="O56" s="97" t="n"/>
      <c r="P56" s="97" t="n"/>
      <c r="Q56" s="97" t="n"/>
      <c r="R56" s="98" t="n"/>
      <c r="S56" s="1" t="n"/>
      <c r="T56" s="1" t="n"/>
      <c r="U56" s="1" t="n"/>
      <c r="V56" s="1" t="n"/>
      <c r="W56" s="1" t="n"/>
      <c r="X56" s="1" t="n"/>
      <c r="Y56" s="1" t="n"/>
      <c r="Z56" s="1" t="n"/>
      <c r="AA56" s="1" t="n"/>
      <c r="AB56" s="1" t="n"/>
    </row>
    <row r="57" ht="12.75" customHeight="1">
      <c r="A57" s="1" t="n"/>
      <c r="B57" s="96" t="n"/>
      <c r="C57" s="97" t="n"/>
      <c r="D57" s="97" t="n"/>
      <c r="E57" s="97" t="n"/>
      <c r="F57" s="97" t="n"/>
      <c r="G57" s="97" t="n"/>
      <c r="H57" s="97" t="n"/>
      <c r="I57" s="97" t="n"/>
      <c r="J57" s="97" t="n"/>
      <c r="K57" s="97" t="n"/>
      <c r="L57" s="97" t="n"/>
      <c r="M57" s="97" t="n"/>
      <c r="N57" s="97" t="n"/>
      <c r="O57" s="97" t="n"/>
      <c r="P57" s="97" t="n"/>
      <c r="Q57" s="97" t="n"/>
      <c r="R57" s="98" t="n"/>
      <c r="S57" s="1" t="n"/>
      <c r="T57" s="1" t="n"/>
      <c r="U57" s="1" t="n"/>
      <c r="V57" s="1" t="n"/>
      <c r="W57" s="1" t="n"/>
      <c r="X57" s="1" t="n"/>
      <c r="Y57" s="1" t="n"/>
      <c r="Z57" s="1" t="n"/>
      <c r="AA57" s="1" t="n"/>
      <c r="AB57" s="1" t="n"/>
    </row>
    <row r="58" ht="12.75" customHeight="1">
      <c r="A58" s="1" t="n"/>
      <c r="B58" s="96" t="n"/>
      <c r="C58" s="97" t="n"/>
      <c r="D58" s="97" t="n"/>
      <c r="E58" s="97" t="n"/>
      <c r="F58" s="97" t="n"/>
      <c r="G58" s="97" t="n"/>
      <c r="H58" s="97" t="n"/>
      <c r="I58" s="97" t="n"/>
      <c r="J58" s="97" t="n"/>
      <c r="K58" s="97" t="n"/>
      <c r="L58" s="97" t="n"/>
      <c r="M58" s="97" t="n"/>
      <c r="N58" s="97" t="n"/>
      <c r="O58" s="97" t="n"/>
      <c r="P58" s="97" t="n"/>
      <c r="Q58" s="97" t="n"/>
      <c r="R58" s="98" t="n"/>
      <c r="S58" s="1" t="n"/>
      <c r="T58" s="1" t="n"/>
      <c r="U58" s="1" t="n"/>
      <c r="V58" s="1" t="n"/>
      <c r="W58" s="1" t="n"/>
      <c r="X58" s="1" t="n"/>
      <c r="Y58" s="1" t="n"/>
      <c r="Z58" s="1" t="n"/>
      <c r="AA58" s="1" t="n"/>
      <c r="AB58" s="1" t="n"/>
    </row>
    <row r="59" ht="12.75" customHeight="1">
      <c r="A59" s="1" t="n"/>
      <c r="B59" s="96" t="n"/>
      <c r="C59" s="97" t="n"/>
      <c r="D59" s="97" t="n"/>
      <c r="E59" s="97" t="n"/>
      <c r="F59" s="97" t="n"/>
      <c r="G59" s="97" t="n"/>
      <c r="H59" s="97" t="n"/>
      <c r="I59" s="97" t="n"/>
      <c r="J59" s="97" t="n"/>
      <c r="K59" s="97" t="n"/>
      <c r="L59" s="97" t="n"/>
      <c r="M59" s="97" t="n"/>
      <c r="N59" s="97" t="n"/>
      <c r="O59" s="97" t="n"/>
      <c r="P59" s="97" t="n"/>
      <c r="Q59" s="97" t="n"/>
      <c r="R59" s="98" t="n"/>
      <c r="S59" s="1" t="n"/>
      <c r="T59" s="1" t="n"/>
      <c r="U59" s="1" t="n"/>
      <c r="V59" s="1" t="n"/>
      <c r="W59" s="1" t="n"/>
      <c r="X59" s="1" t="n"/>
      <c r="Y59" s="1" t="n"/>
      <c r="Z59" s="1" t="n"/>
      <c r="AA59" s="1" t="n"/>
      <c r="AB59" s="1" t="n"/>
    </row>
    <row r="60" ht="12.75" customHeight="1">
      <c r="A60" s="1" t="n"/>
      <c r="B60" s="96" t="n"/>
      <c r="C60" s="97" t="n"/>
      <c r="D60" s="97" t="n"/>
      <c r="E60" s="97" t="n"/>
      <c r="F60" s="97" t="n"/>
      <c r="G60" s="97" t="n"/>
      <c r="H60" s="97" t="n"/>
      <c r="I60" s="97" t="n"/>
      <c r="J60" s="97" t="n"/>
      <c r="K60" s="97" t="n"/>
      <c r="L60" s="97" t="n"/>
      <c r="M60" s="97" t="n"/>
      <c r="N60" s="97" t="n"/>
      <c r="O60" s="97" t="n"/>
      <c r="P60" s="97" t="n"/>
      <c r="Q60" s="97" t="n"/>
      <c r="R60" s="98" t="n"/>
      <c r="S60" s="1" t="n"/>
      <c r="T60" s="1" t="n"/>
      <c r="U60" s="1" t="n"/>
      <c r="V60" s="1" t="n"/>
      <c r="W60" s="1" t="n"/>
      <c r="X60" s="1" t="n"/>
      <c r="Y60" s="1" t="n"/>
      <c r="Z60" s="1" t="n"/>
      <c r="AA60" s="1" t="n"/>
      <c r="AB60" s="1" t="n"/>
    </row>
    <row r="61" ht="12.75" customHeight="1">
      <c r="A61" s="1" t="n"/>
      <c r="B61" s="96" t="n"/>
      <c r="C61" s="97" t="n"/>
      <c r="D61" s="97" t="n"/>
      <c r="E61" s="97" t="n"/>
      <c r="F61" s="97" t="n"/>
      <c r="G61" s="97" t="n"/>
      <c r="H61" s="97" t="n"/>
      <c r="I61" s="97" t="n"/>
      <c r="J61" s="97" t="n"/>
      <c r="K61" s="97" t="n"/>
      <c r="L61" s="97" t="n"/>
      <c r="M61" s="97" t="n"/>
      <c r="N61" s="97" t="n"/>
      <c r="O61" s="97" t="n"/>
      <c r="P61" s="97" t="n"/>
      <c r="Q61" s="97" t="n"/>
      <c r="R61" s="98" t="n"/>
      <c r="S61" s="1" t="n"/>
      <c r="T61" s="1" t="n"/>
      <c r="U61" s="1" t="n"/>
      <c r="V61" s="1" t="n"/>
      <c r="W61" s="1" t="n"/>
      <c r="X61" s="1" t="n"/>
      <c r="Y61" s="1" t="n"/>
      <c r="Z61" s="1" t="n"/>
      <c r="AA61" s="1" t="n"/>
      <c r="AB61" s="1" t="n"/>
    </row>
    <row r="62" ht="12.75" customHeight="1">
      <c r="A62" s="1" t="n"/>
      <c r="B62" s="96" t="n"/>
      <c r="C62" s="97" t="n"/>
      <c r="D62" s="97" t="n"/>
      <c r="E62" s="97" t="n"/>
      <c r="F62" s="97" t="n"/>
      <c r="G62" s="97" t="n"/>
      <c r="H62" s="97" t="n"/>
      <c r="I62" s="97" t="n"/>
      <c r="J62" s="97" t="n"/>
      <c r="K62" s="97" t="n"/>
      <c r="L62" s="97" t="n"/>
      <c r="M62" s="97" t="n"/>
      <c r="N62" s="97" t="n"/>
      <c r="O62" s="97" t="n"/>
      <c r="P62" s="97" t="n"/>
      <c r="Q62" s="97" t="n"/>
      <c r="R62" s="98" t="n"/>
      <c r="S62" s="1" t="n"/>
      <c r="T62" s="1" t="n"/>
      <c r="U62" s="1" t="n"/>
      <c r="V62" s="1" t="n"/>
      <c r="W62" s="1" t="n"/>
      <c r="X62" s="1" t="n"/>
      <c r="Y62" s="1" t="n"/>
      <c r="Z62" s="1" t="n"/>
      <c r="AA62" s="1" t="n"/>
      <c r="AB62" s="1" t="n"/>
    </row>
    <row r="63" ht="14.45" customHeight="1">
      <c r="A63" s="1" t="n"/>
      <c r="B63" s="99" t="n"/>
      <c r="C63" s="100" t="n"/>
      <c r="D63" s="101" t="n"/>
      <c r="E63" s="100" t="n"/>
      <c r="F63" s="100" t="n"/>
      <c r="G63" s="100" t="n"/>
      <c r="H63" s="100" t="n"/>
      <c r="I63" s="100" t="n"/>
      <c r="J63" s="100" t="n"/>
      <c r="K63" s="100" t="n"/>
      <c r="L63" s="100" t="n"/>
      <c r="M63" s="100" t="n"/>
      <c r="N63" s="100" t="n"/>
      <c r="O63" s="100" t="n"/>
      <c r="P63" s="100" t="n"/>
      <c r="Q63" s="100" t="n"/>
      <c r="R63" s="102" t="n"/>
      <c r="S63" s="1" t="n"/>
      <c r="T63" s="1" t="n"/>
      <c r="U63" s="1" t="n"/>
      <c r="V63" s="1" t="n"/>
      <c r="W63" s="1" t="n"/>
      <c r="X63" s="1" t="n"/>
      <c r="Y63" s="1" t="n"/>
      <c r="Z63" s="1" t="n"/>
      <c r="AA63" s="1" t="n"/>
      <c r="AB63" s="1" t="n"/>
    </row>
    <row r="64" ht="14.45" customHeight="1">
      <c r="A64" s="1" t="n"/>
      <c r="B64" s="103" t="n"/>
      <c r="C64" s="104" t="n"/>
      <c r="D64" s="104" t="n"/>
      <c r="E64" s="104" t="n"/>
      <c r="F64" s="104" t="n"/>
      <c r="G64" s="104" t="n"/>
      <c r="H64" s="104" t="n"/>
      <c r="I64" s="104" t="n"/>
      <c r="J64" s="104" t="n"/>
      <c r="K64" s="104" t="n"/>
      <c r="L64" s="104" t="n"/>
      <c r="M64" s="104" t="n"/>
      <c r="N64" s="104" t="n"/>
      <c r="O64" s="104" t="n"/>
      <c r="P64" s="104" t="n"/>
      <c r="Q64" s="104" t="n"/>
      <c r="R64" s="105" t="n"/>
      <c r="S64" s="1" t="n"/>
      <c r="T64" s="1" t="n"/>
      <c r="U64" s="1" t="n"/>
      <c r="V64" s="1" t="n"/>
      <c r="W64" s="1" t="n"/>
      <c r="X64" s="1" t="n"/>
      <c r="Y64" s="1" t="n"/>
      <c r="Z64" s="1" t="n"/>
      <c r="AA64" s="1" t="n"/>
      <c r="AB64" s="1" t="n"/>
    </row>
    <row r="65" ht="12.75" customHeight="1">
      <c r="A65" s="1" t="n"/>
      <c r="B65" s="96" t="n"/>
      <c r="C65" s="97" t="n"/>
      <c r="D65" s="97" t="n"/>
      <c r="E65" s="97" t="n"/>
      <c r="F65" s="97" t="n"/>
      <c r="G65" s="97" t="n"/>
      <c r="H65" s="97" t="n"/>
      <c r="I65" s="97" t="n"/>
      <c r="J65" s="97" t="n"/>
      <c r="K65" s="97" t="n"/>
      <c r="L65" s="97" t="n"/>
      <c r="M65" s="97" t="n"/>
      <c r="N65" s="97" t="n"/>
      <c r="O65" s="97" t="n"/>
      <c r="P65" s="97" t="n"/>
      <c r="Q65" s="97" t="n"/>
      <c r="R65" s="98" t="n"/>
      <c r="S65" s="1" t="n"/>
      <c r="T65" s="1" t="n"/>
      <c r="U65" s="1" t="n"/>
      <c r="V65" s="1" t="n"/>
      <c r="W65" s="1" t="n"/>
      <c r="X65" s="1" t="n"/>
      <c r="Y65" s="1" t="n"/>
      <c r="Z65" s="1" t="n"/>
      <c r="AA65" s="1" t="n"/>
      <c r="AB65" s="1" t="n"/>
    </row>
    <row r="66" ht="12.75" customHeight="1">
      <c r="A66" s="1" t="n"/>
      <c r="B66" s="96" t="n"/>
      <c r="C66" s="97" t="n"/>
      <c r="D66" s="97" t="n"/>
      <c r="E66" s="97" t="n"/>
      <c r="F66" s="97" t="n"/>
      <c r="G66" s="97" t="n"/>
      <c r="H66" s="97" t="n"/>
      <c r="I66" s="97" t="n"/>
      <c r="J66" s="97" t="n"/>
      <c r="K66" s="97" t="n"/>
      <c r="L66" s="97" t="n"/>
      <c r="M66" s="97" t="n"/>
      <c r="N66" s="97" t="n"/>
      <c r="O66" s="97" t="n"/>
      <c r="P66" s="97" t="n"/>
      <c r="Q66" s="97" t="n"/>
      <c r="R66" s="98" t="n"/>
      <c r="S66" s="1" t="n"/>
      <c r="T66" s="1" t="n"/>
      <c r="U66" s="1" t="n"/>
      <c r="V66" s="1" t="n"/>
      <c r="W66" s="1" t="n"/>
      <c r="X66" s="1" t="n"/>
      <c r="Y66" s="1" t="n"/>
      <c r="Z66" s="1" t="n"/>
      <c r="AA66" s="1" t="n"/>
      <c r="AB66" s="1" t="n"/>
    </row>
    <row r="67" ht="12.75" customHeight="1">
      <c r="A67" s="1" t="n"/>
      <c r="B67" s="96" t="n"/>
      <c r="C67" s="97" t="n"/>
      <c r="D67" s="97" t="n"/>
      <c r="E67" s="97" t="n"/>
      <c r="F67" s="97" t="n"/>
      <c r="G67" s="97" t="n"/>
      <c r="H67" s="97" t="n"/>
      <c r="I67" s="97" t="n"/>
      <c r="J67" s="97" t="n"/>
      <c r="K67" s="97" t="n"/>
      <c r="L67" s="97" t="n"/>
      <c r="M67" s="97" t="n"/>
      <c r="N67" s="97" t="n"/>
      <c r="O67" s="97" t="n"/>
      <c r="P67" s="97" t="n"/>
      <c r="Q67" s="97" t="n"/>
      <c r="R67" s="98" t="n"/>
      <c r="S67" s="1" t="n"/>
      <c r="T67" s="1" t="n"/>
      <c r="U67" s="1" t="n"/>
      <c r="V67" s="1" t="n"/>
      <c r="W67" s="1" t="n"/>
      <c r="X67" s="1" t="n"/>
      <c r="Y67" s="1" t="n"/>
      <c r="Z67" s="1" t="n"/>
      <c r="AA67" s="1" t="n"/>
      <c r="AB67" s="1" t="n"/>
    </row>
    <row r="68" ht="12.75" customHeight="1">
      <c r="A68" s="1" t="n"/>
      <c r="B68" s="96" t="n"/>
      <c r="C68" s="97" t="n"/>
      <c r="D68" s="97" t="n"/>
      <c r="E68" s="97" t="n"/>
      <c r="F68" s="97" t="n"/>
      <c r="G68" s="97" t="n"/>
      <c r="H68" s="97" t="n"/>
      <c r="I68" s="97" t="n"/>
      <c r="J68" s="97" t="n"/>
      <c r="K68" s="97" t="n"/>
      <c r="L68" s="97" t="n"/>
      <c r="M68" s="97" t="n"/>
      <c r="N68" s="97" t="n"/>
      <c r="O68" s="97" t="n"/>
      <c r="P68" s="97" t="n"/>
      <c r="Q68" s="97" t="n"/>
      <c r="R68" s="98" t="n"/>
      <c r="S68" s="1" t="n"/>
      <c r="T68" s="1" t="n"/>
      <c r="U68" s="1" t="n"/>
      <c r="V68" s="1" t="n"/>
      <c r="W68" s="1" t="n"/>
      <c r="X68" s="1" t="n"/>
      <c r="Y68" s="1" t="n"/>
      <c r="Z68" s="1" t="n"/>
      <c r="AA68" s="1" t="n"/>
      <c r="AB68" s="1" t="n"/>
    </row>
    <row r="69" ht="12.75" customHeight="1">
      <c r="A69" s="1" t="n"/>
      <c r="B69" s="96" t="n"/>
      <c r="C69" s="97" t="n"/>
      <c r="D69" s="97" t="n"/>
      <c r="E69" s="97" t="n"/>
      <c r="F69" s="97" t="n"/>
      <c r="G69" s="97" t="n"/>
      <c r="H69" s="97" t="n"/>
      <c r="I69" s="97" t="n"/>
      <c r="J69" s="97" t="n"/>
      <c r="K69" s="97" t="n"/>
      <c r="L69" s="97" t="n"/>
      <c r="M69" s="97" t="n"/>
      <c r="N69" s="97" t="n"/>
      <c r="O69" s="97" t="n"/>
      <c r="P69" s="97" t="n"/>
      <c r="Q69" s="97" t="n"/>
      <c r="R69" s="98" t="n"/>
      <c r="S69" s="1" t="n"/>
      <c r="T69" s="1" t="n"/>
      <c r="U69" s="1" t="n"/>
      <c r="V69" s="1" t="n"/>
      <c r="W69" s="1" t="n"/>
      <c r="X69" s="1" t="n"/>
      <c r="Y69" s="1" t="n"/>
      <c r="Z69" s="1" t="n"/>
      <c r="AA69" s="1" t="n"/>
      <c r="AB69" s="1" t="n"/>
    </row>
    <row r="70" ht="12.75" customHeight="1">
      <c r="A70" s="1" t="n"/>
      <c r="B70" s="96" t="n"/>
      <c r="C70" s="97" t="n"/>
      <c r="D70" s="97" t="n"/>
      <c r="E70" s="97" t="n"/>
      <c r="F70" s="97" t="n"/>
      <c r="G70" s="97" t="n"/>
      <c r="H70" s="97" t="n"/>
      <c r="I70" s="97" t="n"/>
      <c r="J70" s="97" t="n"/>
      <c r="K70" s="97" t="n"/>
      <c r="L70" s="97" t="n"/>
      <c r="M70" s="97" t="n"/>
      <c r="N70" s="97" t="n"/>
      <c r="O70" s="97" t="n"/>
      <c r="P70" s="97" t="n"/>
      <c r="Q70" s="97" t="n"/>
      <c r="R70" s="98" t="n"/>
      <c r="S70" s="1" t="n"/>
      <c r="T70" s="1" t="n"/>
      <c r="U70" s="1" t="n"/>
      <c r="V70" s="1" t="n"/>
      <c r="W70" s="1" t="n"/>
      <c r="X70" s="1" t="n"/>
      <c r="Y70" s="1" t="n"/>
      <c r="Z70" s="1" t="n"/>
      <c r="AA70" s="1" t="n"/>
      <c r="AB70" s="1" t="n"/>
    </row>
    <row r="71" ht="12.75" customHeight="1">
      <c r="A71" s="1" t="n"/>
      <c r="B71" s="96" t="n"/>
      <c r="C71" s="97" t="n"/>
      <c r="D71" s="97" t="n"/>
      <c r="E71" s="97" t="n"/>
      <c r="F71" s="97" t="n"/>
      <c r="G71" s="97" t="n"/>
      <c r="H71" s="97" t="n"/>
      <c r="I71" s="97" t="n"/>
      <c r="J71" s="97" t="n"/>
      <c r="K71" s="97" t="n"/>
      <c r="L71" s="97" t="n"/>
      <c r="M71" s="97" t="n"/>
      <c r="N71" s="97" t="n"/>
      <c r="O71" s="97" t="n"/>
      <c r="P71" s="97" t="n"/>
      <c r="Q71" s="97" t="n"/>
      <c r="R71" s="98" t="n"/>
      <c r="S71" s="1" t="n"/>
      <c r="T71" s="1" t="n"/>
      <c r="U71" s="1" t="n"/>
      <c r="V71" s="1" t="n"/>
      <c r="W71" s="1" t="n"/>
      <c r="X71" s="1" t="n"/>
      <c r="Y71" s="1" t="n"/>
      <c r="Z71" s="1" t="n"/>
      <c r="AA71" s="1" t="n"/>
      <c r="AB71" s="1" t="n"/>
    </row>
    <row r="72" ht="14.45" customHeight="1">
      <c r="A72" s="1" t="n"/>
      <c r="B72" s="99" t="n"/>
      <c r="C72" s="100" t="n"/>
      <c r="D72" s="101" t="n"/>
      <c r="E72" s="100" t="n"/>
      <c r="F72" s="100" t="n"/>
      <c r="G72" s="100" t="n"/>
      <c r="H72" s="100" t="n"/>
      <c r="I72" s="100" t="n"/>
      <c r="J72" s="100" t="n"/>
      <c r="K72" s="100" t="n"/>
      <c r="L72" s="100" t="n"/>
      <c r="M72" s="100" t="n"/>
      <c r="N72" s="100" t="n"/>
      <c r="O72" s="100" t="n"/>
      <c r="P72" s="100" t="n"/>
      <c r="Q72" s="100" t="n"/>
      <c r="R72" s="102" t="n"/>
      <c r="S72" s="1" t="n"/>
      <c r="T72" s="1" t="n"/>
      <c r="U72" s="1" t="n"/>
      <c r="V72" s="1" t="n"/>
      <c r="W72" s="1" t="n"/>
      <c r="X72" s="1" t="n"/>
      <c r="Y72" s="1" t="n"/>
      <c r="Z72" s="1" t="n"/>
      <c r="AA72" s="1" t="n"/>
      <c r="AB72" s="1" t="n"/>
    </row>
    <row r="73" ht="14.45" customHeight="1">
      <c r="A73" s="1" t="n"/>
      <c r="B73" s="103" t="n"/>
      <c r="C73" s="104" t="n"/>
      <c r="D73" s="104" t="n"/>
      <c r="E73" s="104" t="n"/>
      <c r="F73" s="104" t="n"/>
      <c r="G73" s="104" t="n"/>
      <c r="H73" s="104" t="n"/>
      <c r="I73" s="104" t="n"/>
      <c r="J73" s="104" t="n"/>
      <c r="K73" s="104" t="n"/>
      <c r="L73" s="104" t="n"/>
      <c r="M73" s="104" t="n"/>
      <c r="N73" s="104" t="n"/>
      <c r="O73" s="104" t="n"/>
      <c r="P73" s="104" t="n"/>
      <c r="Q73" s="104" t="n"/>
      <c r="R73" s="105" t="n"/>
      <c r="S73" s="1" t="n"/>
      <c r="T73" s="1" t="n"/>
      <c r="U73" s="1" t="n"/>
      <c r="V73" s="1" t="n"/>
      <c r="W73" s="1" t="n"/>
      <c r="X73" s="1" t="n"/>
      <c r="Y73" s="1" t="n"/>
      <c r="Z73" s="1" t="n"/>
      <c r="AA73" s="1" t="n"/>
      <c r="AB73" s="1" t="n"/>
    </row>
    <row r="74" ht="12.75" customHeight="1">
      <c r="A74" s="1" t="n"/>
      <c r="B74" s="96" t="n"/>
      <c r="C74" s="97" t="n"/>
      <c r="D74" s="97" t="n"/>
      <c r="E74" s="97" t="n"/>
      <c r="F74" s="97" t="n"/>
      <c r="G74" s="97" t="n"/>
      <c r="H74" s="97" t="n"/>
      <c r="I74" s="97" t="n"/>
      <c r="J74" s="97" t="n"/>
      <c r="K74" s="97" t="n"/>
      <c r="L74" s="97" t="n"/>
      <c r="M74" s="97" t="n"/>
      <c r="N74" s="97" t="n"/>
      <c r="O74" s="97" t="n"/>
      <c r="P74" s="97" t="n"/>
      <c r="Q74" s="97" t="n"/>
      <c r="R74" s="98" t="n"/>
      <c r="S74" s="1" t="n"/>
      <c r="T74" s="1" t="n"/>
      <c r="U74" s="1" t="n"/>
      <c r="V74" s="1" t="n"/>
      <c r="W74" s="1" t="n"/>
      <c r="X74" s="1" t="n"/>
      <c r="Y74" s="1" t="n"/>
      <c r="Z74" s="1" t="n"/>
      <c r="AA74" s="1" t="n"/>
      <c r="AB74" s="1" t="n"/>
    </row>
    <row r="75" ht="12.75" customHeight="1">
      <c r="A75" s="1" t="n"/>
      <c r="B75" s="96" t="n"/>
      <c r="C75" s="97" t="n"/>
      <c r="D75" s="97" t="n"/>
      <c r="E75" s="97" t="n"/>
      <c r="F75" s="97" t="n"/>
      <c r="G75" s="97" t="n"/>
      <c r="H75" s="97" t="n"/>
      <c r="I75" s="97" t="n"/>
      <c r="J75" s="97" t="n"/>
      <c r="K75" s="97" t="n"/>
      <c r="L75" s="97" t="n"/>
      <c r="M75" s="97" t="n"/>
      <c r="N75" s="97" t="n"/>
      <c r="O75" s="97" t="n"/>
      <c r="P75" s="97" t="n"/>
      <c r="Q75" s="97" t="n"/>
      <c r="R75" s="98" t="n"/>
      <c r="S75" s="1" t="n"/>
      <c r="T75" s="1" t="n"/>
      <c r="U75" s="1" t="n"/>
      <c r="V75" s="1" t="n"/>
      <c r="W75" s="1" t="n"/>
      <c r="X75" s="1" t="n"/>
      <c r="Y75" s="1" t="n"/>
      <c r="Z75" s="1" t="n"/>
      <c r="AA75" s="1" t="n"/>
      <c r="AB75" s="1" t="n"/>
    </row>
    <row r="76" ht="14.45" customHeight="1">
      <c r="A76" s="1" t="n"/>
      <c r="B76" s="99" t="n"/>
      <c r="C76" s="100" t="n"/>
      <c r="D76" s="101" t="n"/>
      <c r="E76" s="100" t="n"/>
      <c r="F76" s="100" t="n"/>
      <c r="G76" s="100" t="n"/>
      <c r="H76" s="100" t="n"/>
      <c r="I76" s="100" t="n"/>
      <c r="J76" s="100" t="n"/>
      <c r="K76" s="100" t="n"/>
      <c r="L76" s="100" t="n"/>
      <c r="M76" s="100" t="n"/>
      <c r="N76" s="100" t="n"/>
      <c r="O76" s="100" t="n"/>
      <c r="P76" s="100" t="n"/>
      <c r="Q76" s="100" t="n"/>
      <c r="R76" s="102" t="n"/>
      <c r="S76" s="1" t="n"/>
      <c r="T76" s="1" t="n"/>
      <c r="U76" s="1" t="n"/>
      <c r="V76" s="1" t="n"/>
      <c r="W76" s="1" t="n"/>
      <c r="X76" s="1" t="n"/>
      <c r="Y76" s="1" t="n"/>
      <c r="Z76" s="1" t="n"/>
      <c r="AA76" s="1" t="n"/>
      <c r="AB76" s="1" t="n"/>
    </row>
    <row r="77" ht="14.45" customHeight="1">
      <c r="A77" s="1" t="n"/>
      <c r="B77" s="99" t="n"/>
      <c r="C77" s="100" t="n"/>
      <c r="D77" s="101" t="n"/>
      <c r="E77" s="100" t="n"/>
      <c r="F77" s="100" t="n"/>
      <c r="G77" s="100" t="n"/>
      <c r="H77" s="100" t="n"/>
      <c r="I77" s="100" t="n"/>
      <c r="J77" s="100" t="n"/>
      <c r="K77" s="100" t="n"/>
      <c r="L77" s="100" t="n"/>
      <c r="M77" s="100" t="n"/>
      <c r="N77" s="100" t="n"/>
      <c r="O77" s="100" t="n"/>
      <c r="P77" s="100" t="n"/>
      <c r="Q77" s="100" t="n"/>
      <c r="R77" s="102" t="n"/>
      <c r="S77" s="1" t="n"/>
      <c r="T77" s="1" t="n"/>
      <c r="U77" s="1" t="n"/>
      <c r="V77" s="1" t="n"/>
      <c r="W77" s="1" t="n"/>
      <c r="X77" s="1" t="n"/>
      <c r="Y77" s="1" t="n"/>
      <c r="Z77" s="1" t="n"/>
      <c r="AA77" s="1" t="n"/>
      <c r="AB77" s="1" t="n"/>
    </row>
    <row r="78" ht="14.45" customHeight="1">
      <c r="A78" s="1" t="n"/>
      <c r="B78" s="103" t="n"/>
      <c r="C78" s="104" t="n"/>
      <c r="D78" s="104" t="n"/>
      <c r="E78" s="104" t="n"/>
      <c r="F78" s="104" t="n"/>
      <c r="G78" s="104" t="n"/>
      <c r="H78" s="104" t="n"/>
      <c r="I78" s="104" t="n"/>
      <c r="J78" s="104" t="n"/>
      <c r="K78" s="104" t="n"/>
      <c r="L78" s="104" t="n"/>
      <c r="M78" s="104" t="n"/>
      <c r="N78" s="104" t="n"/>
      <c r="O78" s="104" t="n"/>
      <c r="P78" s="104" t="n"/>
      <c r="Q78" s="104" t="n"/>
      <c r="R78" s="105" t="n"/>
      <c r="S78" s="1" t="n"/>
      <c r="T78" s="1" t="n"/>
      <c r="U78" s="1" t="n"/>
      <c r="V78" s="1" t="n"/>
      <c r="W78" s="1" t="n"/>
      <c r="X78" s="1" t="n"/>
      <c r="Y78" s="1" t="n"/>
      <c r="Z78" s="1" t="n"/>
      <c r="AA78" s="1" t="n"/>
      <c r="AB78" s="1" t="n"/>
    </row>
    <row r="79" ht="14.45" customHeight="1">
      <c r="A79" s="1" t="n"/>
      <c r="B79" s="103" t="n"/>
      <c r="C79" s="104" t="n"/>
      <c r="D79" s="104" t="n"/>
      <c r="E79" s="104" t="n"/>
      <c r="F79" s="104" t="n"/>
      <c r="G79" s="104" t="n"/>
      <c r="H79" s="104" t="n"/>
      <c r="I79" s="104" t="n"/>
      <c r="J79" s="104" t="n"/>
      <c r="K79" s="104" t="n"/>
      <c r="L79" s="104" t="n"/>
      <c r="M79" s="104" t="n"/>
      <c r="N79" s="104" t="n"/>
      <c r="O79" s="104" t="n"/>
      <c r="P79" s="104" t="n"/>
      <c r="Q79" s="104" t="n"/>
      <c r="R79" s="105" t="n"/>
      <c r="S79" s="1" t="n"/>
      <c r="T79" s="1" t="n"/>
      <c r="U79" s="1" t="n"/>
      <c r="V79" s="1" t="n"/>
      <c r="W79" s="1" t="n"/>
      <c r="X79" s="1" t="n"/>
      <c r="Y79" s="1" t="n"/>
      <c r="Z79" s="1" t="n"/>
      <c r="AA79" s="1" t="n"/>
      <c r="AB79" s="1" t="n"/>
    </row>
    <row r="80" ht="12.75" customHeight="1">
      <c r="A80" s="1" t="n"/>
      <c r="B80" s="96" t="n"/>
      <c r="C80" s="97" t="n"/>
      <c r="D80" s="97" t="n"/>
      <c r="E80" s="97" t="n"/>
      <c r="F80" s="97" t="n"/>
      <c r="G80" s="97" t="n"/>
      <c r="H80" s="97" t="n"/>
      <c r="I80" s="97" t="n"/>
      <c r="J80" s="97" t="n"/>
      <c r="K80" s="97" t="n"/>
      <c r="L80" s="97" t="n"/>
      <c r="M80" s="97" t="n"/>
      <c r="N80" s="97" t="n"/>
      <c r="O80" s="97" t="n"/>
      <c r="P80" s="97" t="n"/>
      <c r="Q80" s="97" t="n"/>
      <c r="R80" s="98" t="n"/>
      <c r="S80" s="1" t="n"/>
      <c r="T80" s="1" t="n"/>
      <c r="U80" s="1" t="n"/>
      <c r="V80" s="1" t="n"/>
      <c r="W80" s="1" t="n"/>
      <c r="X80" s="1" t="n"/>
      <c r="Y80" s="1" t="n"/>
      <c r="Z80" s="1" t="n"/>
      <c r="AA80" s="1" t="n"/>
      <c r="AB80" s="1" t="n"/>
    </row>
    <row r="81" ht="12.75" customHeight="1">
      <c r="A81" s="1" t="n"/>
      <c r="B81" s="96" t="n"/>
      <c r="C81" s="97" t="n"/>
      <c r="D81" s="97" t="n"/>
      <c r="E81" s="97" t="n"/>
      <c r="F81" s="97" t="n"/>
      <c r="G81" s="97" t="n"/>
      <c r="H81" s="97" t="n"/>
      <c r="I81" s="97" t="n"/>
      <c r="J81" s="97" t="n"/>
      <c r="K81" s="97" t="n"/>
      <c r="L81" s="97" t="n"/>
      <c r="M81" s="97" t="n"/>
      <c r="N81" s="97" t="n"/>
      <c r="O81" s="97" t="n"/>
      <c r="P81" s="97" t="n"/>
      <c r="Q81" s="97" t="n"/>
      <c r="R81" s="98" t="n"/>
      <c r="S81" s="1" t="n"/>
      <c r="T81" s="1" t="n"/>
      <c r="U81" s="1" t="n"/>
      <c r="V81" s="1" t="n"/>
      <c r="W81" s="1" t="n"/>
      <c r="X81" s="1" t="n"/>
      <c r="Y81" s="1" t="n"/>
      <c r="Z81" s="1" t="n"/>
      <c r="AA81" s="1" t="n"/>
      <c r="AB81" s="1" t="n"/>
    </row>
    <row r="82" ht="12.75" customHeight="1">
      <c r="A82" s="1" t="n"/>
      <c r="B82" s="96" t="n"/>
      <c r="C82" s="97" t="n"/>
      <c r="D82" s="97" t="n"/>
      <c r="E82" s="97" t="n"/>
      <c r="F82" s="97" t="n"/>
      <c r="G82" s="97" t="n"/>
      <c r="H82" s="97" t="n"/>
      <c r="I82" s="97" t="n"/>
      <c r="J82" s="97" t="n"/>
      <c r="K82" s="97" t="n"/>
      <c r="L82" s="97" t="n"/>
      <c r="M82" s="97" t="n"/>
      <c r="N82" s="97" t="n"/>
      <c r="O82" s="97" t="n"/>
      <c r="P82" s="97" t="n"/>
      <c r="Q82" s="97" t="n"/>
      <c r="R82" s="98" t="n"/>
      <c r="S82" s="1" t="n"/>
      <c r="T82" s="1" t="n"/>
      <c r="U82" s="1" t="n"/>
      <c r="V82" s="1" t="n"/>
      <c r="W82" s="1" t="n"/>
      <c r="X82" s="1" t="n"/>
      <c r="Y82" s="1" t="n"/>
      <c r="Z82" s="1" t="n"/>
      <c r="AA82" s="1" t="n"/>
      <c r="AB82" s="1" t="n"/>
    </row>
    <row r="83" ht="12.75" customHeight="1">
      <c r="A83" s="1" t="n"/>
      <c r="B83" s="96" t="n"/>
      <c r="C83" s="97" t="n"/>
      <c r="D83" s="97" t="n"/>
      <c r="E83" s="97" t="n"/>
      <c r="F83" s="97" t="n"/>
      <c r="G83" s="97" t="n"/>
      <c r="H83" s="97" t="n"/>
      <c r="I83" s="97" t="n"/>
      <c r="J83" s="97" t="n"/>
      <c r="K83" s="97" t="n"/>
      <c r="L83" s="97" t="n"/>
      <c r="M83" s="97" t="n"/>
      <c r="N83" s="97" t="n"/>
      <c r="O83" s="97" t="n"/>
      <c r="P83" s="97" t="n"/>
      <c r="Q83" s="97" t="n"/>
      <c r="R83" s="98" t="n"/>
      <c r="S83" s="1" t="n"/>
      <c r="T83" s="1" t="n"/>
      <c r="U83" s="1" t="n"/>
      <c r="V83" s="1" t="n"/>
      <c r="W83" s="1" t="n"/>
      <c r="X83" s="1" t="n"/>
      <c r="Y83" s="1" t="n"/>
      <c r="Z83" s="1" t="n"/>
      <c r="AA83" s="1" t="n"/>
      <c r="AB83" s="1" t="n"/>
    </row>
    <row r="84" ht="12.75" customHeight="1">
      <c r="A84" s="1" t="n"/>
      <c r="B84" s="96" t="n"/>
      <c r="C84" s="97" t="n"/>
      <c r="D84" s="97" t="n"/>
      <c r="E84" s="97" t="n"/>
      <c r="F84" s="97" t="n"/>
      <c r="G84" s="97" t="n"/>
      <c r="H84" s="97" t="n"/>
      <c r="I84" s="97" t="n"/>
      <c r="J84" s="97" t="n"/>
      <c r="K84" s="97" t="n"/>
      <c r="L84" s="97" t="n"/>
      <c r="M84" s="97" t="n"/>
      <c r="N84" s="97" t="n"/>
      <c r="O84" s="97" t="n"/>
      <c r="P84" s="97" t="n"/>
      <c r="Q84" s="97" t="n"/>
      <c r="R84" s="98" t="n"/>
      <c r="S84" s="1" t="n"/>
      <c r="T84" s="1" t="n"/>
      <c r="U84" s="1" t="n"/>
      <c r="V84" s="1" t="n"/>
      <c r="W84" s="1" t="n"/>
      <c r="X84" s="1" t="n"/>
      <c r="Y84" s="1" t="n"/>
      <c r="Z84" s="1" t="n"/>
      <c r="AA84" s="1" t="n"/>
      <c r="AB84" s="1" t="n"/>
    </row>
    <row r="85" ht="12.75" customHeight="1">
      <c r="A85" s="1" t="n"/>
      <c r="B85" s="96" t="n"/>
      <c r="C85" s="97" t="n"/>
      <c r="D85" s="97" t="n"/>
      <c r="E85" s="97" t="n"/>
      <c r="F85" s="97" t="n"/>
      <c r="G85" s="97" t="n"/>
      <c r="H85" s="97" t="n"/>
      <c r="I85" s="97" t="n"/>
      <c r="J85" s="97" t="n"/>
      <c r="K85" s="97" t="n"/>
      <c r="L85" s="97" t="n"/>
      <c r="M85" s="97" t="n"/>
      <c r="N85" s="97" t="n"/>
      <c r="O85" s="97" t="n"/>
      <c r="P85" s="97" t="n"/>
      <c r="Q85" s="97" t="n"/>
      <c r="R85" s="98" t="n"/>
      <c r="S85" s="1" t="n"/>
      <c r="T85" s="1" t="n"/>
      <c r="U85" s="1" t="n"/>
      <c r="V85" s="1" t="n"/>
      <c r="W85" s="1" t="n"/>
      <c r="X85" s="1" t="n"/>
      <c r="Y85" s="1" t="n"/>
      <c r="Z85" s="1" t="n"/>
      <c r="AA85" s="1" t="n"/>
      <c r="AB85" s="1" t="n"/>
    </row>
    <row r="86" ht="12.75" customHeight="1">
      <c r="A86" s="1" t="n"/>
      <c r="B86" s="96" t="n"/>
      <c r="C86" s="97" t="n"/>
      <c r="D86" s="97" t="n"/>
      <c r="E86" s="97" t="n"/>
      <c r="F86" s="97" t="n"/>
      <c r="G86" s="97" t="n"/>
      <c r="H86" s="97" t="n"/>
      <c r="I86" s="97" t="n"/>
      <c r="J86" s="97" t="n"/>
      <c r="K86" s="97" t="n"/>
      <c r="L86" s="97" t="n"/>
      <c r="M86" s="97" t="n"/>
      <c r="N86" s="97" t="n"/>
      <c r="O86" s="97" t="n"/>
      <c r="P86" s="97" t="n"/>
      <c r="Q86" s="97" t="n"/>
      <c r="R86" s="98" t="n"/>
      <c r="S86" s="1" t="n"/>
      <c r="T86" s="1" t="n"/>
      <c r="U86" s="1" t="n"/>
      <c r="V86" s="1" t="n"/>
      <c r="W86" s="1" t="n"/>
      <c r="X86" s="1" t="n"/>
      <c r="Y86" s="1" t="n"/>
      <c r="Z86" s="1" t="n"/>
      <c r="AA86" s="1" t="n"/>
      <c r="AB86" s="1" t="n"/>
    </row>
    <row r="87" ht="14.45" customHeight="1">
      <c r="A87" s="1" t="n"/>
      <c r="B87" s="99" t="n"/>
      <c r="C87" s="100" t="n"/>
      <c r="D87" s="101" t="n"/>
      <c r="E87" s="100" t="n"/>
      <c r="F87" s="100" t="n"/>
      <c r="G87" s="100" t="n"/>
      <c r="H87" s="100" t="n"/>
      <c r="I87" s="100" t="n"/>
      <c r="J87" s="100" t="n"/>
      <c r="K87" s="100" t="n"/>
      <c r="L87" s="100" t="n"/>
      <c r="M87" s="100" t="n"/>
      <c r="N87" s="100" t="n"/>
      <c r="O87" s="100" t="n"/>
      <c r="P87" s="100" t="n"/>
      <c r="Q87" s="100" t="n"/>
      <c r="R87" s="102" t="n"/>
      <c r="S87" s="1" t="n"/>
      <c r="T87" s="1" t="n"/>
      <c r="U87" s="1" t="n"/>
      <c r="V87" s="1" t="n"/>
      <c r="W87" s="1" t="n"/>
      <c r="X87" s="1" t="n"/>
      <c r="Y87" s="1" t="n"/>
      <c r="Z87" s="1" t="n"/>
      <c r="AA87" s="1" t="n"/>
      <c r="AB87" s="1" t="n"/>
    </row>
    <row r="88" ht="14.45" customHeight="1">
      <c r="A88" s="1" t="n"/>
      <c r="B88" s="103" t="n"/>
      <c r="C88" s="104" t="n"/>
      <c r="D88" s="104" t="n"/>
      <c r="E88" s="104" t="n"/>
      <c r="F88" s="104" t="n"/>
      <c r="G88" s="104" t="n"/>
      <c r="H88" s="104" t="n"/>
      <c r="I88" s="104" t="n"/>
      <c r="J88" s="104" t="n"/>
      <c r="K88" s="104" t="n"/>
      <c r="L88" s="104" t="n"/>
      <c r="M88" s="104" t="n"/>
      <c r="N88" s="104" t="n"/>
      <c r="O88" s="104" t="n"/>
      <c r="P88" s="104" t="n"/>
      <c r="Q88" s="104" t="n"/>
      <c r="R88" s="105" t="n"/>
      <c r="S88" s="1" t="n"/>
      <c r="T88" s="1" t="n"/>
      <c r="U88" s="1" t="n"/>
      <c r="V88" s="1" t="n"/>
      <c r="W88" s="1" t="n"/>
      <c r="X88" s="1" t="n"/>
      <c r="Y88" s="1" t="n"/>
      <c r="Z88" s="1" t="n"/>
      <c r="AA88" s="1" t="n"/>
      <c r="AB88" s="1" t="n"/>
    </row>
    <row r="89" ht="12.75" customHeight="1">
      <c r="A89" s="1" t="n"/>
      <c r="B89" s="96" t="n"/>
      <c r="C89" s="97" t="n"/>
      <c r="D89" s="97" t="n"/>
      <c r="E89" s="97" t="n"/>
      <c r="F89" s="97" t="n"/>
      <c r="G89" s="97" t="n"/>
      <c r="H89" s="97" t="n"/>
      <c r="I89" s="97" t="n"/>
      <c r="J89" s="97" t="n"/>
      <c r="K89" s="97" t="n"/>
      <c r="L89" s="97" t="n"/>
      <c r="M89" s="97" t="n"/>
      <c r="N89" s="97" t="n"/>
      <c r="O89" s="97" t="n"/>
      <c r="P89" s="97" t="n"/>
      <c r="Q89" s="97" t="n"/>
      <c r="R89" s="98" t="n"/>
      <c r="S89" s="1" t="n"/>
      <c r="T89" s="1" t="n"/>
      <c r="U89" s="1" t="n"/>
      <c r="V89" s="1" t="n"/>
      <c r="W89" s="1" t="n"/>
      <c r="X89" s="1" t="n"/>
      <c r="Y89" s="1" t="n"/>
      <c r="Z89" s="1" t="n"/>
      <c r="AA89" s="1" t="n"/>
      <c r="AB89" s="1" t="n"/>
    </row>
    <row r="90" ht="12.75" customHeight="1">
      <c r="A90" s="1" t="n"/>
      <c r="B90" s="96" t="n"/>
      <c r="C90" s="97" t="n"/>
      <c r="D90" s="97" t="n"/>
      <c r="E90" s="97" t="n"/>
      <c r="F90" s="97" t="n"/>
      <c r="G90" s="97" t="n"/>
      <c r="H90" s="97" t="n"/>
      <c r="I90" s="97" t="n"/>
      <c r="J90" s="97" t="n"/>
      <c r="K90" s="97" t="n"/>
      <c r="L90" s="97" t="n"/>
      <c r="M90" s="97" t="n"/>
      <c r="N90" s="97" t="n"/>
      <c r="O90" s="97" t="n"/>
      <c r="P90" s="97" t="n"/>
      <c r="Q90" s="97" t="n"/>
      <c r="R90" s="98" t="n"/>
      <c r="S90" s="1" t="n"/>
      <c r="T90" s="1" t="n"/>
      <c r="U90" s="1" t="n"/>
      <c r="V90" s="1" t="n"/>
      <c r="W90" s="1" t="n"/>
      <c r="X90" s="1" t="n"/>
      <c r="Y90" s="1" t="n"/>
      <c r="Z90" s="1" t="n"/>
      <c r="AA90" s="1" t="n"/>
      <c r="AB90" s="1" t="n"/>
    </row>
    <row r="91" ht="14.45" customHeight="1">
      <c r="A91" s="1" t="n"/>
      <c r="B91" s="99" t="n"/>
      <c r="C91" s="100" t="n"/>
      <c r="D91" s="101" t="n"/>
      <c r="E91" s="100" t="n"/>
      <c r="F91" s="100" t="n"/>
      <c r="G91" s="100" t="n"/>
      <c r="H91" s="100" t="n"/>
      <c r="I91" s="100" t="n"/>
      <c r="J91" s="100" t="n"/>
      <c r="K91" s="100" t="n"/>
      <c r="L91" s="100" t="n"/>
      <c r="M91" s="100" t="n"/>
      <c r="N91" s="100" t="n"/>
      <c r="O91" s="100" t="n"/>
      <c r="P91" s="100" t="n"/>
      <c r="Q91" s="100" t="n"/>
      <c r="R91" s="102" t="n"/>
      <c r="S91" s="1" t="n"/>
      <c r="T91" s="1" t="n"/>
      <c r="U91" s="1" t="n"/>
      <c r="V91" s="1" t="n"/>
      <c r="W91" s="1" t="n"/>
      <c r="X91" s="1" t="n"/>
      <c r="Y91" s="1" t="n"/>
      <c r="Z91" s="1" t="n"/>
      <c r="AA91" s="1" t="n"/>
      <c r="AB91" s="1" t="n"/>
    </row>
    <row r="92" ht="14.45" customHeight="1">
      <c r="A92" s="1" t="n"/>
      <c r="B92" s="103" t="n"/>
      <c r="C92" s="104" t="n"/>
      <c r="D92" s="104" t="n"/>
      <c r="E92" s="104" t="n"/>
      <c r="F92" s="104" t="n"/>
      <c r="G92" s="104" t="n"/>
      <c r="H92" s="104" t="n"/>
      <c r="I92" s="104" t="n"/>
      <c r="J92" s="104" t="n"/>
      <c r="K92" s="104" t="n"/>
      <c r="L92" s="104" t="n"/>
      <c r="M92" s="104" t="n"/>
      <c r="N92" s="104" t="n"/>
      <c r="O92" s="104" t="n"/>
      <c r="P92" s="104" t="n"/>
      <c r="Q92" s="104" t="n"/>
      <c r="R92" s="105" t="n"/>
      <c r="S92" s="1" t="n"/>
      <c r="T92" s="1" t="n"/>
      <c r="U92" s="1" t="n"/>
      <c r="V92" s="1" t="n"/>
      <c r="W92" s="1" t="n"/>
      <c r="X92" s="1" t="n"/>
      <c r="Y92" s="1" t="n"/>
      <c r="Z92" s="1" t="n"/>
      <c r="AA92" s="1" t="n"/>
      <c r="AB92" s="1" t="n"/>
    </row>
    <row r="93" ht="12.75" customHeight="1">
      <c r="A93" s="1" t="n"/>
      <c r="B93" s="96" t="n"/>
      <c r="C93" s="97" t="n"/>
      <c r="D93" s="97" t="n"/>
      <c r="E93" s="97" t="n"/>
      <c r="F93" s="97" t="n"/>
      <c r="G93" s="97" t="n"/>
      <c r="H93" s="97" t="n"/>
      <c r="I93" s="97" t="n"/>
      <c r="J93" s="97" t="n"/>
      <c r="K93" s="97" t="n"/>
      <c r="L93" s="97" t="n"/>
      <c r="M93" s="97" t="n"/>
      <c r="N93" s="97" t="n"/>
      <c r="O93" s="97" t="n"/>
      <c r="P93" s="97" t="n"/>
      <c r="Q93" s="97" t="n"/>
      <c r="R93" s="98" t="n"/>
      <c r="S93" s="1" t="n"/>
      <c r="T93" s="1" t="n"/>
      <c r="U93" s="1" t="n"/>
      <c r="V93" s="1" t="n"/>
      <c r="W93" s="1" t="n"/>
      <c r="X93" s="1" t="n"/>
      <c r="Y93" s="1" t="n"/>
      <c r="Z93" s="1" t="n"/>
      <c r="AA93" s="1" t="n"/>
      <c r="AB93" s="1" t="n"/>
    </row>
    <row r="94" ht="12.75" customHeight="1">
      <c r="A94" s="1" t="n"/>
      <c r="B94" s="96" t="n"/>
      <c r="C94" s="97" t="n"/>
      <c r="D94" s="97" t="n"/>
      <c r="E94" s="97" t="n"/>
      <c r="F94" s="97" t="n"/>
      <c r="G94" s="97" t="n"/>
      <c r="H94" s="97" t="n"/>
      <c r="I94" s="97" t="n"/>
      <c r="J94" s="97" t="n"/>
      <c r="K94" s="97" t="n"/>
      <c r="L94" s="97" t="n"/>
      <c r="M94" s="97" t="n"/>
      <c r="N94" s="97" t="n"/>
      <c r="O94" s="97" t="n"/>
      <c r="P94" s="97" t="n"/>
      <c r="Q94" s="97" t="n"/>
      <c r="R94" s="98" t="n"/>
      <c r="S94" s="1" t="n"/>
      <c r="T94" s="1" t="n"/>
      <c r="U94" s="1" t="n"/>
      <c r="V94" s="1" t="n"/>
      <c r="W94" s="1" t="n"/>
      <c r="X94" s="1" t="n"/>
      <c r="Y94" s="1" t="n"/>
      <c r="Z94" s="1" t="n"/>
      <c r="AA94" s="1" t="n"/>
      <c r="AB94" s="1" t="n"/>
    </row>
    <row r="95" ht="12.75" customHeight="1">
      <c r="A95" s="1" t="n"/>
      <c r="B95" s="96" t="n"/>
      <c r="C95" s="97" t="n"/>
      <c r="D95" s="97" t="n"/>
      <c r="E95" s="97" t="n"/>
      <c r="F95" s="97" t="n"/>
      <c r="G95" s="97" t="n"/>
      <c r="H95" s="97" t="n"/>
      <c r="I95" s="97" t="n"/>
      <c r="J95" s="97" t="n"/>
      <c r="K95" s="97" t="n"/>
      <c r="L95" s="97" t="n"/>
      <c r="M95" s="97" t="n"/>
      <c r="N95" s="97" t="n"/>
      <c r="O95" s="97" t="n"/>
      <c r="P95" s="97" t="n"/>
      <c r="Q95" s="97" t="n"/>
      <c r="R95" s="98" t="n"/>
      <c r="S95" s="1" t="n"/>
      <c r="T95" s="1" t="n"/>
      <c r="U95" s="1" t="n"/>
      <c r="V95" s="1" t="n"/>
      <c r="W95" s="1" t="n"/>
      <c r="X95" s="1" t="n"/>
      <c r="Y95" s="1" t="n"/>
      <c r="Z95" s="1" t="n"/>
      <c r="AA95" s="1" t="n"/>
      <c r="AB95" s="1" t="n"/>
    </row>
    <row r="96" ht="12.75" customHeight="1">
      <c r="A96" s="1" t="n"/>
      <c r="B96" s="96" t="n"/>
      <c r="C96" s="97" t="n"/>
      <c r="D96" s="97" t="n"/>
      <c r="E96" s="97" t="n"/>
      <c r="F96" s="97" t="n"/>
      <c r="G96" s="97" t="n"/>
      <c r="H96" s="97" t="n"/>
      <c r="I96" s="97" t="n"/>
      <c r="J96" s="97" t="n"/>
      <c r="K96" s="97" t="n"/>
      <c r="L96" s="97" t="n"/>
      <c r="M96" s="97" t="n"/>
      <c r="N96" s="97" t="n"/>
      <c r="O96" s="97" t="n"/>
      <c r="P96" s="97" t="n"/>
      <c r="Q96" s="97" t="n"/>
      <c r="R96" s="98" t="n"/>
      <c r="S96" s="1" t="n"/>
      <c r="T96" s="1" t="n"/>
      <c r="U96" s="1" t="n"/>
      <c r="V96" s="1" t="n"/>
      <c r="W96" s="1" t="n"/>
      <c r="X96" s="1" t="n"/>
      <c r="Y96" s="1" t="n"/>
      <c r="Z96" s="1" t="n"/>
      <c r="AA96" s="1" t="n"/>
      <c r="AB96" s="1" t="n"/>
    </row>
    <row r="97" ht="12.75" customHeight="1">
      <c r="A97" s="1" t="n"/>
      <c r="B97" s="96" t="n"/>
      <c r="C97" s="97" t="n"/>
      <c r="D97" s="97" t="n"/>
      <c r="E97" s="97" t="n"/>
      <c r="F97" s="97" t="n"/>
      <c r="G97" s="97" t="n"/>
      <c r="H97" s="97" t="n"/>
      <c r="I97" s="97" t="n"/>
      <c r="J97" s="97" t="n"/>
      <c r="K97" s="97" t="n"/>
      <c r="L97" s="97" t="n"/>
      <c r="M97" s="97" t="n"/>
      <c r="N97" s="97" t="n"/>
      <c r="O97" s="97" t="n"/>
      <c r="P97" s="97" t="n"/>
      <c r="Q97" s="97" t="n"/>
      <c r="R97" s="98" t="n"/>
      <c r="S97" s="1" t="n"/>
      <c r="T97" s="1" t="n"/>
      <c r="U97" s="1" t="n"/>
      <c r="V97" s="1" t="n"/>
      <c r="W97" s="1" t="n"/>
      <c r="X97" s="1" t="n"/>
      <c r="Y97" s="1" t="n"/>
      <c r="Z97" s="1" t="n"/>
      <c r="AA97" s="1" t="n"/>
      <c r="AB97" s="1" t="n"/>
    </row>
    <row r="98" ht="14.45" customHeight="1">
      <c r="A98" s="1" t="n"/>
      <c r="B98" s="99" t="n"/>
      <c r="C98" s="100" t="n"/>
      <c r="D98" s="101" t="n"/>
      <c r="E98" s="100" t="n"/>
      <c r="F98" s="100" t="n"/>
      <c r="G98" s="100" t="n"/>
      <c r="H98" s="100" t="n"/>
      <c r="I98" s="100" t="n"/>
      <c r="J98" s="100" t="n"/>
      <c r="K98" s="100" t="n"/>
      <c r="L98" s="100" t="n"/>
      <c r="M98" s="100" t="n"/>
      <c r="N98" s="100" t="n"/>
      <c r="O98" s="100" t="n"/>
      <c r="P98" s="100" t="n"/>
      <c r="Q98" s="100" t="n"/>
      <c r="R98" s="102" t="n"/>
      <c r="S98" s="1" t="n"/>
      <c r="T98" s="1" t="n"/>
      <c r="U98" s="1" t="n"/>
      <c r="V98" s="1" t="n"/>
      <c r="W98" s="1" t="n"/>
      <c r="X98" s="1" t="n"/>
      <c r="Y98" s="1" t="n"/>
      <c r="Z98" s="1" t="n"/>
      <c r="AA98" s="1" t="n"/>
      <c r="AB98" s="1" t="n"/>
    </row>
    <row r="99" ht="14.45" customHeight="1">
      <c r="A99" s="1" t="n"/>
      <c r="B99" s="103" t="n"/>
      <c r="C99" s="104" t="n"/>
      <c r="D99" s="104" t="n"/>
      <c r="E99" s="104" t="n"/>
      <c r="F99" s="104" t="n"/>
      <c r="G99" s="104" t="n"/>
      <c r="H99" s="104" t="n"/>
      <c r="I99" s="104" t="n"/>
      <c r="J99" s="104" t="n"/>
      <c r="K99" s="104" t="n"/>
      <c r="L99" s="104" t="n"/>
      <c r="M99" s="104" t="n"/>
      <c r="N99" s="104" t="n"/>
      <c r="O99" s="104" t="n"/>
      <c r="P99" s="104" t="n"/>
      <c r="Q99" s="104" t="n"/>
      <c r="R99" s="105" t="n"/>
      <c r="S99" s="1" t="n"/>
      <c r="T99" s="1" t="n"/>
      <c r="U99" s="1" t="n"/>
      <c r="V99" s="1" t="n"/>
      <c r="W99" s="1" t="n"/>
      <c r="X99" s="1" t="n"/>
      <c r="Y99" s="1" t="n"/>
      <c r="Z99" s="1" t="n"/>
      <c r="AA99" s="1" t="n"/>
      <c r="AB99" s="1" t="n"/>
    </row>
    <row r="100" ht="12.75" customHeight="1">
      <c r="A100" s="1" t="n"/>
      <c r="B100" s="96" t="n"/>
      <c r="C100" s="97" t="n"/>
      <c r="D100" s="97" t="n"/>
      <c r="E100" s="97" t="n"/>
      <c r="F100" s="97" t="n"/>
      <c r="G100" s="97" t="n"/>
      <c r="H100" s="97" t="n"/>
      <c r="I100" s="97" t="n"/>
      <c r="J100" s="97" t="n"/>
      <c r="K100" s="97" t="n"/>
      <c r="L100" s="97" t="n"/>
      <c r="M100" s="97" t="n"/>
      <c r="N100" s="97" t="n"/>
      <c r="O100" s="97" t="n"/>
      <c r="P100" s="97" t="n"/>
      <c r="Q100" s="97" t="n"/>
      <c r="R100" s="98" t="n"/>
      <c r="S100" s="1" t="n"/>
      <c r="T100" s="1" t="n"/>
      <c r="U100" s="1" t="n"/>
      <c r="V100" s="1" t="n"/>
      <c r="W100" s="1" t="n"/>
      <c r="X100" s="1" t="n"/>
      <c r="Y100" s="1" t="n"/>
      <c r="Z100" s="1" t="n"/>
      <c r="AA100" s="1" t="n"/>
      <c r="AB100" s="1" t="n"/>
    </row>
    <row r="101" ht="12.75" customHeight="1">
      <c r="A101" s="1" t="n"/>
      <c r="B101" s="96" t="n"/>
      <c r="C101" s="97" t="n"/>
      <c r="D101" s="97" t="n"/>
      <c r="E101" s="97" t="n"/>
      <c r="F101" s="97" t="n"/>
      <c r="G101" s="97" t="n"/>
      <c r="H101" s="97" t="n"/>
      <c r="I101" s="97" t="n"/>
      <c r="J101" s="97" t="n"/>
      <c r="K101" s="97" t="n"/>
      <c r="L101" s="97" t="n"/>
      <c r="M101" s="97" t="n"/>
      <c r="N101" s="97" t="n"/>
      <c r="O101" s="97" t="n"/>
      <c r="P101" s="97" t="n"/>
      <c r="Q101" s="97" t="n"/>
      <c r="R101" s="98" t="n"/>
      <c r="S101" s="1" t="n"/>
      <c r="T101" s="1" t="n"/>
      <c r="U101" s="1" t="n"/>
      <c r="V101" s="1" t="n"/>
      <c r="W101" s="1" t="n"/>
      <c r="X101" s="1" t="n"/>
      <c r="Y101" s="1" t="n"/>
      <c r="Z101" s="1" t="n"/>
      <c r="AA101" s="1" t="n"/>
      <c r="AB101" s="1" t="n"/>
    </row>
    <row r="102" ht="12.75" customHeight="1">
      <c r="A102" s="1" t="n"/>
      <c r="B102" s="96" t="n"/>
      <c r="C102" s="97" t="n"/>
      <c r="D102" s="97" t="n"/>
      <c r="E102" s="97" t="n"/>
      <c r="F102" s="97" t="n"/>
      <c r="G102" s="97" t="n"/>
      <c r="H102" s="97" t="n"/>
      <c r="I102" s="97" t="n"/>
      <c r="J102" s="97" t="n"/>
      <c r="K102" s="97" t="n"/>
      <c r="L102" s="97" t="n"/>
      <c r="M102" s="97" t="n"/>
      <c r="N102" s="97" t="n"/>
      <c r="O102" s="97" t="n"/>
      <c r="P102" s="97" t="n"/>
      <c r="Q102" s="97" t="n"/>
      <c r="R102" s="98" t="n"/>
      <c r="S102" s="1" t="n"/>
      <c r="T102" s="1" t="n"/>
      <c r="U102" s="1" t="n"/>
      <c r="V102" s="1" t="n"/>
      <c r="W102" s="1" t="n"/>
      <c r="X102" s="1" t="n"/>
      <c r="Y102" s="1" t="n"/>
      <c r="Z102" s="1" t="n"/>
      <c r="AA102" s="1" t="n"/>
      <c r="AB102" s="1" t="n"/>
    </row>
    <row r="103" ht="12.75" customHeight="1">
      <c r="A103" s="1" t="n"/>
      <c r="B103" s="96" t="n"/>
      <c r="C103" s="97" t="n"/>
      <c r="D103" s="97" t="n"/>
      <c r="E103" s="97" t="n"/>
      <c r="F103" s="97" t="n"/>
      <c r="G103" s="97" t="n"/>
      <c r="H103" s="97" t="n"/>
      <c r="I103" s="97" t="n"/>
      <c r="J103" s="97" t="n"/>
      <c r="K103" s="97" t="n"/>
      <c r="L103" s="97" t="n"/>
      <c r="M103" s="97" t="n"/>
      <c r="N103" s="97" t="n"/>
      <c r="O103" s="97" t="n"/>
      <c r="P103" s="97" t="n"/>
      <c r="Q103" s="97" t="n"/>
      <c r="R103" s="98" t="n"/>
      <c r="S103" s="1" t="n"/>
      <c r="T103" s="1" t="n"/>
      <c r="U103" s="1" t="n"/>
      <c r="V103" s="1" t="n"/>
      <c r="W103" s="1" t="n"/>
      <c r="X103" s="1" t="n"/>
      <c r="Y103" s="1" t="n"/>
      <c r="Z103" s="1" t="n"/>
      <c r="AA103" s="1" t="n"/>
      <c r="AB103" s="1" t="n"/>
    </row>
    <row r="104" ht="14.45" customHeight="1">
      <c r="A104" s="1" t="n"/>
      <c r="B104" s="99" t="n"/>
      <c r="C104" s="100" t="n"/>
      <c r="D104" s="101" t="n"/>
      <c r="E104" s="100" t="n"/>
      <c r="F104" s="100" t="n"/>
      <c r="G104" s="100" t="n"/>
      <c r="H104" s="100" t="n"/>
      <c r="I104" s="100" t="n"/>
      <c r="J104" s="100" t="n"/>
      <c r="K104" s="100" t="n"/>
      <c r="L104" s="100" t="n"/>
      <c r="M104" s="100" t="n"/>
      <c r="N104" s="100" t="n"/>
      <c r="O104" s="100" t="n"/>
      <c r="P104" s="100" t="n"/>
      <c r="Q104" s="100" t="n"/>
      <c r="R104" s="102" t="n"/>
      <c r="S104" s="1" t="n"/>
      <c r="T104" s="1" t="n"/>
      <c r="U104" s="1" t="n"/>
      <c r="V104" s="1" t="n"/>
      <c r="W104" s="1" t="n"/>
      <c r="X104" s="1" t="n"/>
      <c r="Y104" s="1" t="n"/>
      <c r="Z104" s="1" t="n"/>
      <c r="AA104" s="1" t="n"/>
      <c r="AB104" s="1" t="n"/>
    </row>
    <row r="105" ht="14.45" customHeight="1">
      <c r="A105" s="1" t="n"/>
      <c r="B105" s="103" t="n"/>
      <c r="C105" s="104" t="n"/>
      <c r="D105" s="104" t="n"/>
      <c r="E105" s="104" t="n"/>
      <c r="F105" s="104" t="n"/>
      <c r="G105" s="104" t="n"/>
      <c r="H105" s="104" t="n"/>
      <c r="I105" s="104" t="n"/>
      <c r="J105" s="104" t="n"/>
      <c r="K105" s="104" t="n"/>
      <c r="L105" s="104" t="n"/>
      <c r="M105" s="104" t="n"/>
      <c r="N105" s="104" t="n"/>
      <c r="O105" s="104" t="n"/>
      <c r="P105" s="104" t="n"/>
      <c r="Q105" s="104" t="n"/>
      <c r="R105" s="105" t="n"/>
      <c r="S105" s="1" t="n"/>
      <c r="T105" s="1" t="n"/>
      <c r="U105" s="1" t="n"/>
      <c r="V105" s="1" t="n"/>
      <c r="W105" s="1" t="n"/>
      <c r="X105" s="1" t="n"/>
      <c r="Y105" s="1" t="n"/>
      <c r="Z105" s="1" t="n"/>
      <c r="AA105" s="1" t="n"/>
      <c r="AB105" s="1" t="n"/>
    </row>
    <row r="106" ht="12.75" customHeight="1">
      <c r="A106" s="1" t="n"/>
      <c r="B106" s="96" t="n"/>
      <c r="C106" s="97" t="n"/>
      <c r="D106" s="97" t="n"/>
      <c r="E106" s="97" t="n"/>
      <c r="F106" s="97" t="n"/>
      <c r="G106" s="97" t="n"/>
      <c r="H106" s="97" t="n"/>
      <c r="I106" s="97" t="n"/>
      <c r="J106" s="97" t="n"/>
      <c r="K106" s="97" t="n"/>
      <c r="L106" s="97" t="n"/>
      <c r="M106" s="97" t="n"/>
      <c r="N106" s="97" t="n"/>
      <c r="O106" s="97" t="n"/>
      <c r="P106" s="97" t="n"/>
      <c r="Q106" s="97" t="n"/>
      <c r="R106" s="98" t="n"/>
      <c r="S106" s="1" t="n"/>
      <c r="T106" s="1" t="n"/>
      <c r="U106" s="1" t="n"/>
      <c r="V106" s="1" t="n"/>
      <c r="W106" s="1" t="n"/>
      <c r="X106" s="1" t="n"/>
      <c r="Y106" s="1" t="n"/>
      <c r="Z106" s="1" t="n"/>
      <c r="AA106" s="1" t="n"/>
      <c r="AB106" s="1" t="n"/>
    </row>
    <row r="107" ht="12.75" customHeight="1">
      <c r="A107" s="1" t="n"/>
      <c r="B107" s="96" t="n"/>
      <c r="C107" s="97" t="n"/>
      <c r="D107" s="97" t="n"/>
      <c r="E107" s="97" t="n"/>
      <c r="F107" s="97" t="n"/>
      <c r="G107" s="97" t="n"/>
      <c r="H107" s="97" t="n"/>
      <c r="I107" s="97" t="n"/>
      <c r="J107" s="97" t="n"/>
      <c r="K107" s="97" t="n"/>
      <c r="L107" s="97" t="n"/>
      <c r="M107" s="97" t="n"/>
      <c r="N107" s="97" t="n"/>
      <c r="O107" s="97" t="n"/>
      <c r="P107" s="97" t="n"/>
      <c r="Q107" s="97" t="n"/>
      <c r="R107" s="98" t="n"/>
      <c r="S107" s="1" t="n"/>
      <c r="T107" s="1" t="n"/>
      <c r="U107" s="1" t="n"/>
      <c r="V107" s="1" t="n"/>
      <c r="W107" s="1" t="n"/>
      <c r="X107" s="1" t="n"/>
      <c r="Y107" s="1" t="n"/>
      <c r="Z107" s="1" t="n"/>
      <c r="AA107" s="1" t="n"/>
      <c r="AB107" s="1" t="n"/>
    </row>
    <row r="108" ht="14.45" customHeight="1">
      <c r="A108" s="1" t="n"/>
      <c r="B108" s="99" t="n"/>
      <c r="C108" s="100" t="n"/>
      <c r="D108" s="101" t="n"/>
      <c r="E108" s="100" t="n"/>
      <c r="F108" s="100" t="n"/>
      <c r="G108" s="100" t="n"/>
      <c r="H108" s="100" t="n"/>
      <c r="I108" s="100" t="n"/>
      <c r="J108" s="100" t="n"/>
      <c r="K108" s="100" t="n"/>
      <c r="L108" s="100" t="n"/>
      <c r="M108" s="100" t="n"/>
      <c r="N108" s="100" t="n"/>
      <c r="O108" s="100" t="n"/>
      <c r="P108" s="100" t="n"/>
      <c r="Q108" s="100" t="n"/>
      <c r="R108" s="102" t="n"/>
      <c r="S108" s="1" t="n"/>
      <c r="T108" s="1" t="n"/>
      <c r="U108" s="1" t="n"/>
      <c r="V108" s="1" t="n"/>
      <c r="W108" s="1" t="n"/>
      <c r="X108" s="1" t="n"/>
      <c r="Y108" s="1" t="n"/>
      <c r="Z108" s="1" t="n"/>
      <c r="AA108" s="1" t="n"/>
      <c r="AB108" s="1" t="n"/>
    </row>
    <row r="109" ht="14.45" customHeight="1">
      <c r="A109" s="1" t="n"/>
      <c r="B109" s="103" t="n"/>
      <c r="C109" s="104" t="n"/>
      <c r="D109" s="104" t="n"/>
      <c r="E109" s="104" t="n"/>
      <c r="F109" s="104" t="n"/>
      <c r="G109" s="104" t="n"/>
      <c r="H109" s="104" t="n"/>
      <c r="I109" s="104" t="n"/>
      <c r="J109" s="104" t="n"/>
      <c r="K109" s="104" t="n"/>
      <c r="L109" s="104" t="n"/>
      <c r="M109" s="104" t="n"/>
      <c r="N109" s="104" t="n"/>
      <c r="O109" s="104" t="n"/>
      <c r="P109" s="104" t="n"/>
      <c r="Q109" s="104" t="n"/>
      <c r="R109" s="105" t="n"/>
      <c r="S109" s="1" t="n"/>
      <c r="T109" s="1" t="n"/>
      <c r="U109" s="1" t="n"/>
      <c r="V109" s="1" t="n"/>
      <c r="W109" s="1" t="n"/>
      <c r="X109" s="1" t="n"/>
      <c r="Y109" s="1" t="n"/>
      <c r="Z109" s="1" t="n"/>
      <c r="AA109" s="1" t="n"/>
      <c r="AB109" s="1" t="n"/>
    </row>
    <row r="110" ht="12.75" customHeight="1">
      <c r="A110" s="1" t="n"/>
      <c r="B110" s="96" t="n"/>
      <c r="C110" s="97" t="n"/>
      <c r="D110" s="97" t="n"/>
      <c r="E110" s="97" t="n"/>
      <c r="F110" s="97" t="n"/>
      <c r="G110" s="97" t="n"/>
      <c r="H110" s="97" t="n"/>
      <c r="I110" s="97" t="n"/>
      <c r="J110" s="97" t="n"/>
      <c r="K110" s="97" t="n"/>
      <c r="L110" s="97" t="n"/>
      <c r="M110" s="97" t="n"/>
      <c r="N110" s="97" t="n"/>
      <c r="O110" s="97" t="n"/>
      <c r="P110" s="97" t="n"/>
      <c r="Q110" s="97" t="n"/>
      <c r="R110" s="98" t="n"/>
      <c r="S110" s="1" t="n"/>
      <c r="T110" s="1" t="n"/>
      <c r="U110" s="1" t="n"/>
      <c r="V110" s="1" t="n"/>
      <c r="W110" s="1" t="n"/>
      <c r="X110" s="1" t="n"/>
      <c r="Y110" s="1" t="n"/>
      <c r="Z110" s="1" t="n"/>
      <c r="AA110" s="1" t="n"/>
      <c r="AB110" s="1" t="n"/>
    </row>
    <row r="111" ht="12.75" customHeight="1">
      <c r="A111" s="1" t="n"/>
      <c r="B111" s="96" t="n"/>
      <c r="C111" s="97" t="n"/>
      <c r="D111" s="97" t="n"/>
      <c r="E111" s="97" t="n"/>
      <c r="F111" s="97" t="n"/>
      <c r="G111" s="97" t="n"/>
      <c r="H111" s="97" t="n"/>
      <c r="I111" s="97" t="n"/>
      <c r="J111" s="97" t="n"/>
      <c r="K111" s="97" t="n"/>
      <c r="L111" s="97" t="n"/>
      <c r="M111" s="97" t="n"/>
      <c r="N111" s="97" t="n"/>
      <c r="O111" s="97" t="n"/>
      <c r="P111" s="97" t="n"/>
      <c r="Q111" s="97" t="n"/>
      <c r="R111" s="98" t="n"/>
      <c r="S111" s="1" t="n"/>
      <c r="T111" s="1" t="n"/>
      <c r="U111" s="1" t="n"/>
      <c r="V111" s="1" t="n"/>
      <c r="W111" s="1" t="n"/>
      <c r="X111" s="1" t="n"/>
      <c r="Y111" s="1" t="n"/>
      <c r="Z111" s="1" t="n"/>
      <c r="AA111" s="1" t="n"/>
      <c r="AB111" s="1" t="n"/>
    </row>
    <row r="112" ht="14.45" customHeight="1">
      <c r="A112" s="1" t="n"/>
      <c r="B112" s="99" t="n"/>
      <c r="C112" s="100" t="n"/>
      <c r="D112" s="101" t="n"/>
      <c r="E112" s="100" t="n"/>
      <c r="F112" s="100" t="n"/>
      <c r="G112" s="100" t="n"/>
      <c r="H112" s="100" t="n"/>
      <c r="I112" s="100" t="n"/>
      <c r="J112" s="100" t="n"/>
      <c r="K112" s="100" t="n"/>
      <c r="L112" s="100" t="n"/>
      <c r="M112" s="100" t="n"/>
      <c r="N112" s="100" t="n"/>
      <c r="O112" s="100" t="n"/>
      <c r="P112" s="100" t="n"/>
      <c r="Q112" s="100" t="n"/>
      <c r="R112" s="102" t="n"/>
      <c r="S112" s="1" t="n"/>
      <c r="T112" s="1" t="n"/>
      <c r="U112" s="1" t="n"/>
      <c r="V112" s="1" t="n"/>
      <c r="W112" s="1" t="n"/>
      <c r="X112" s="1" t="n"/>
      <c r="Y112" s="1" t="n"/>
      <c r="Z112" s="1" t="n"/>
      <c r="AA112" s="1" t="n"/>
      <c r="AB112" s="1" t="n"/>
    </row>
    <row r="113" ht="14.45" customHeight="1">
      <c r="A113" s="1" t="n"/>
      <c r="B113" s="103" t="n"/>
      <c r="C113" s="104" t="n"/>
      <c r="D113" s="104" t="n"/>
      <c r="E113" s="104" t="n"/>
      <c r="F113" s="104" t="n"/>
      <c r="G113" s="104" t="n"/>
      <c r="H113" s="104" t="n"/>
      <c r="I113" s="104" t="n"/>
      <c r="J113" s="104" t="n"/>
      <c r="K113" s="104" t="n"/>
      <c r="L113" s="104" t="n"/>
      <c r="M113" s="104" t="n"/>
      <c r="N113" s="104" t="n"/>
      <c r="O113" s="104" t="n"/>
      <c r="P113" s="104" t="n"/>
      <c r="Q113" s="104" t="n"/>
      <c r="R113" s="105" t="n"/>
      <c r="S113" s="1" t="n"/>
      <c r="T113" s="1" t="n"/>
      <c r="U113" s="1" t="n"/>
      <c r="V113" s="1" t="n"/>
      <c r="W113" s="1" t="n"/>
      <c r="X113" s="1" t="n"/>
      <c r="Y113" s="1" t="n"/>
      <c r="Z113" s="1" t="n"/>
      <c r="AA113" s="1" t="n"/>
      <c r="AB113" s="1" t="n"/>
    </row>
    <row r="114" ht="12.75" customHeight="1">
      <c r="A114" s="1" t="n"/>
      <c r="B114" s="96" t="n"/>
      <c r="C114" s="97" t="n"/>
      <c r="D114" s="97" t="n"/>
      <c r="E114" s="97" t="n"/>
      <c r="F114" s="97" t="n"/>
      <c r="G114" s="97" t="n"/>
      <c r="H114" s="97" t="n"/>
      <c r="I114" s="97" t="n"/>
      <c r="J114" s="97" t="n"/>
      <c r="K114" s="97" t="n"/>
      <c r="L114" s="97" t="n"/>
      <c r="M114" s="97" t="n"/>
      <c r="N114" s="97" t="n"/>
      <c r="O114" s="97" t="n"/>
      <c r="P114" s="97" t="n"/>
      <c r="Q114" s="97" t="n"/>
      <c r="R114" s="98" t="n"/>
      <c r="S114" s="1" t="n"/>
      <c r="T114" s="1" t="n"/>
      <c r="U114" s="1" t="n"/>
      <c r="V114" s="1" t="n"/>
      <c r="W114" s="1" t="n"/>
      <c r="X114" s="1" t="n"/>
      <c r="Y114" s="1" t="n"/>
      <c r="Z114" s="1" t="n"/>
      <c r="AA114" s="1" t="n"/>
      <c r="AB114" s="1" t="n"/>
    </row>
    <row r="115" ht="12.75" customHeight="1">
      <c r="A115" s="1" t="n"/>
      <c r="B115" s="96" t="n"/>
      <c r="C115" s="97" t="n"/>
      <c r="D115" s="97" t="n"/>
      <c r="E115" s="97" t="n"/>
      <c r="F115" s="97" t="n"/>
      <c r="G115" s="97" t="n"/>
      <c r="H115" s="97" t="n"/>
      <c r="I115" s="97" t="n"/>
      <c r="J115" s="97" t="n"/>
      <c r="K115" s="97" t="n"/>
      <c r="L115" s="97" t="n"/>
      <c r="M115" s="97" t="n"/>
      <c r="N115" s="97" t="n"/>
      <c r="O115" s="97" t="n"/>
      <c r="P115" s="97" t="n"/>
      <c r="Q115" s="97" t="n"/>
      <c r="R115" s="98" t="n"/>
      <c r="S115" s="1" t="n"/>
      <c r="T115" s="1" t="n"/>
      <c r="U115" s="1" t="n"/>
      <c r="V115" s="1" t="n"/>
      <c r="W115" s="1" t="n"/>
      <c r="X115" s="1" t="n"/>
      <c r="Y115" s="1" t="n"/>
      <c r="Z115" s="1" t="n"/>
      <c r="AA115" s="1" t="n"/>
      <c r="AB115" s="1" t="n"/>
    </row>
    <row r="116" ht="12.75" customHeight="1">
      <c r="A116" s="1" t="n"/>
      <c r="B116" s="96" t="n"/>
      <c r="C116" s="97" t="n"/>
      <c r="D116" s="97" t="n"/>
      <c r="E116" s="97" t="n"/>
      <c r="F116" s="97" t="n"/>
      <c r="G116" s="97" t="n"/>
      <c r="H116" s="97" t="n"/>
      <c r="I116" s="97" t="n"/>
      <c r="J116" s="97" t="n"/>
      <c r="K116" s="97" t="n"/>
      <c r="L116" s="97" t="n"/>
      <c r="M116" s="97" t="n"/>
      <c r="N116" s="97" t="n"/>
      <c r="O116" s="97" t="n"/>
      <c r="P116" s="97" t="n"/>
      <c r="Q116" s="97" t="n"/>
      <c r="R116" s="98" t="n"/>
      <c r="S116" s="1" t="n"/>
      <c r="T116" s="1" t="n"/>
      <c r="U116" s="1" t="n"/>
      <c r="V116" s="1" t="n"/>
      <c r="W116" s="1" t="n"/>
      <c r="X116" s="1" t="n"/>
      <c r="Y116" s="1" t="n"/>
      <c r="Z116" s="1" t="n"/>
      <c r="AA116" s="1" t="n"/>
      <c r="AB116" s="1" t="n"/>
    </row>
    <row r="117" ht="12.75" customHeight="1">
      <c r="A117" s="1" t="n"/>
      <c r="B117" s="96" t="n"/>
      <c r="C117" s="97" t="n"/>
      <c r="D117" s="97" t="n"/>
      <c r="E117" s="97" t="n"/>
      <c r="F117" s="97" t="n"/>
      <c r="G117" s="97" t="n"/>
      <c r="H117" s="97" t="n"/>
      <c r="I117" s="97" t="n"/>
      <c r="J117" s="97" t="n"/>
      <c r="K117" s="97" t="n"/>
      <c r="L117" s="97" t="n"/>
      <c r="M117" s="97" t="n"/>
      <c r="N117" s="97" t="n"/>
      <c r="O117" s="97" t="n"/>
      <c r="P117" s="97" t="n"/>
      <c r="Q117" s="97" t="n"/>
      <c r="R117" s="98" t="n"/>
      <c r="S117" s="1" t="n"/>
      <c r="T117" s="1" t="n"/>
      <c r="U117" s="1" t="n"/>
      <c r="V117" s="1" t="n"/>
      <c r="W117" s="1" t="n"/>
      <c r="X117" s="1" t="n"/>
      <c r="Y117" s="1" t="n"/>
      <c r="Z117" s="1" t="n"/>
      <c r="AA117" s="1" t="n"/>
      <c r="AB117" s="1" t="n"/>
    </row>
    <row r="118" ht="14.45" customHeight="1">
      <c r="A118" s="1" t="n"/>
      <c r="B118" s="99" t="n"/>
      <c r="C118" s="100" t="n"/>
      <c r="D118" s="101" t="n"/>
      <c r="E118" s="100" t="n"/>
      <c r="F118" s="100" t="n"/>
      <c r="G118" s="100" t="n"/>
      <c r="H118" s="100" t="n"/>
      <c r="I118" s="100" t="n"/>
      <c r="J118" s="100" t="n"/>
      <c r="K118" s="100" t="n"/>
      <c r="L118" s="100" t="n"/>
      <c r="M118" s="100" t="n"/>
      <c r="N118" s="100" t="n"/>
      <c r="O118" s="100" t="n"/>
      <c r="P118" s="100" t="n"/>
      <c r="Q118" s="100" t="n"/>
      <c r="R118" s="102" t="n"/>
      <c r="S118" s="1" t="n"/>
      <c r="T118" s="1" t="n"/>
      <c r="U118" s="1" t="n"/>
      <c r="V118" s="1" t="n"/>
      <c r="W118" s="1" t="n"/>
      <c r="X118" s="1" t="n"/>
      <c r="Y118" s="1" t="n"/>
      <c r="Z118" s="1" t="n"/>
      <c r="AA118" s="1" t="n"/>
      <c r="AB118" s="1" t="n"/>
    </row>
    <row r="119" ht="14.45" customHeight="1">
      <c r="A119" s="1" t="n"/>
      <c r="B119" s="103" t="n"/>
      <c r="C119" s="104" t="n"/>
      <c r="D119" s="104" t="n"/>
      <c r="E119" s="104" t="n"/>
      <c r="F119" s="104" t="n"/>
      <c r="G119" s="104" t="n"/>
      <c r="H119" s="104" t="n"/>
      <c r="I119" s="104" t="n"/>
      <c r="J119" s="104" t="n"/>
      <c r="K119" s="104" t="n"/>
      <c r="L119" s="104" t="n"/>
      <c r="M119" s="104" t="n"/>
      <c r="N119" s="104" t="n"/>
      <c r="O119" s="104" t="n"/>
      <c r="P119" s="104" t="n"/>
      <c r="Q119" s="104" t="n"/>
      <c r="R119" s="105" t="n"/>
      <c r="S119" s="1" t="n"/>
      <c r="T119" s="1" t="n"/>
      <c r="U119" s="1" t="n"/>
      <c r="V119" s="1" t="n"/>
      <c r="W119" s="1" t="n"/>
      <c r="X119" s="1" t="n"/>
      <c r="Y119" s="1" t="n"/>
      <c r="Z119" s="1" t="n"/>
      <c r="AA119" s="1" t="n"/>
      <c r="AB119" s="1" t="n"/>
    </row>
    <row r="120" ht="12.75" customHeight="1">
      <c r="A120" s="1" t="n"/>
      <c r="B120" s="96" t="n"/>
      <c r="C120" s="97" t="n"/>
      <c r="D120" s="97" t="n"/>
      <c r="E120" s="97" t="n"/>
      <c r="F120" s="97" t="n"/>
      <c r="G120" s="97" t="n"/>
      <c r="H120" s="97" t="n"/>
      <c r="I120" s="97" t="n"/>
      <c r="J120" s="97" t="n"/>
      <c r="K120" s="97" t="n"/>
      <c r="L120" s="97" t="n"/>
      <c r="M120" s="97" t="n"/>
      <c r="N120" s="97" t="n"/>
      <c r="O120" s="97" t="n"/>
      <c r="P120" s="97" t="n"/>
      <c r="Q120" s="97" t="n"/>
      <c r="R120" s="98" t="n"/>
      <c r="S120" s="1" t="n"/>
      <c r="T120" s="1" t="n"/>
      <c r="U120" s="1" t="n"/>
      <c r="V120" s="1" t="n"/>
      <c r="W120" s="1" t="n"/>
      <c r="X120" s="1" t="n"/>
      <c r="Y120" s="1" t="n"/>
      <c r="Z120" s="1" t="n"/>
      <c r="AA120" s="1" t="n"/>
      <c r="AB120" s="1" t="n"/>
    </row>
    <row r="121" ht="12.75" customHeight="1">
      <c r="A121" s="1" t="n"/>
      <c r="B121" s="96" t="n"/>
      <c r="C121" s="97" t="n"/>
      <c r="D121" s="97" t="n"/>
      <c r="E121" s="97" t="n"/>
      <c r="F121" s="97" t="n"/>
      <c r="G121" s="97" t="n"/>
      <c r="H121" s="97" t="n"/>
      <c r="I121" s="97" t="n"/>
      <c r="J121" s="97" t="n"/>
      <c r="K121" s="97" t="n"/>
      <c r="L121" s="97" t="n"/>
      <c r="M121" s="97" t="n"/>
      <c r="N121" s="97" t="n"/>
      <c r="O121" s="97" t="n"/>
      <c r="P121" s="97" t="n"/>
      <c r="Q121" s="97" t="n"/>
      <c r="R121" s="98" t="n"/>
      <c r="S121" s="1" t="n"/>
      <c r="T121" s="1" t="n"/>
      <c r="U121" s="1" t="n"/>
      <c r="V121" s="1" t="n"/>
      <c r="W121" s="1" t="n"/>
      <c r="X121" s="1" t="n"/>
      <c r="Y121" s="1" t="n"/>
      <c r="Z121" s="1" t="n"/>
      <c r="AA121" s="1" t="n"/>
      <c r="AB121" s="1" t="n"/>
    </row>
    <row r="122" ht="14.45" customHeight="1">
      <c r="A122" s="1" t="n"/>
      <c r="B122" s="99" t="n"/>
      <c r="C122" s="100" t="n"/>
      <c r="D122" s="101" t="n"/>
      <c r="E122" s="100" t="n"/>
      <c r="F122" s="100" t="n"/>
      <c r="G122" s="100" t="n"/>
      <c r="H122" s="100" t="n"/>
      <c r="I122" s="100" t="n"/>
      <c r="J122" s="100" t="n"/>
      <c r="K122" s="100" t="n"/>
      <c r="L122" s="100" t="n"/>
      <c r="M122" s="100" t="n"/>
      <c r="N122" s="100" t="n"/>
      <c r="O122" s="100" t="n"/>
      <c r="P122" s="100" t="n"/>
      <c r="Q122" s="100" t="n"/>
      <c r="R122" s="102" t="n"/>
      <c r="S122" s="1" t="n"/>
      <c r="T122" s="1" t="n"/>
      <c r="U122" s="1" t="n"/>
      <c r="V122" s="1" t="n"/>
      <c r="W122" s="1" t="n"/>
      <c r="X122" s="1" t="n"/>
      <c r="Y122" s="1" t="n"/>
      <c r="Z122" s="1" t="n"/>
      <c r="AA122" s="1" t="n"/>
      <c r="AB122" s="1" t="n"/>
    </row>
    <row r="123" ht="14.45" customHeight="1">
      <c r="A123" s="1" t="n"/>
      <c r="B123" s="103" t="n"/>
      <c r="C123" s="104" t="n"/>
      <c r="D123" s="104" t="n"/>
      <c r="E123" s="104" t="n"/>
      <c r="F123" s="104" t="n"/>
      <c r="G123" s="104" t="n"/>
      <c r="H123" s="104" t="n"/>
      <c r="I123" s="104" t="n"/>
      <c r="J123" s="104" t="n"/>
      <c r="K123" s="104" t="n"/>
      <c r="L123" s="104" t="n"/>
      <c r="M123" s="104" t="n"/>
      <c r="N123" s="104" t="n"/>
      <c r="O123" s="104" t="n"/>
      <c r="P123" s="104" t="n"/>
      <c r="Q123" s="104" t="n"/>
      <c r="R123" s="105" t="n"/>
      <c r="S123" s="1" t="n"/>
      <c r="T123" s="1" t="n"/>
      <c r="U123" s="1" t="n"/>
      <c r="V123" s="1" t="n"/>
      <c r="W123" s="1" t="n"/>
      <c r="X123" s="1" t="n"/>
      <c r="Y123" s="1" t="n"/>
      <c r="Z123" s="1" t="n"/>
      <c r="AA123" s="1" t="n"/>
      <c r="AB123" s="1" t="n"/>
    </row>
    <row r="124" ht="12.75" customHeight="1">
      <c r="A124" s="1" t="n"/>
      <c r="B124" s="96" t="n"/>
      <c r="C124" s="97" t="n"/>
      <c r="D124" s="97" t="n"/>
      <c r="E124" s="97" t="n"/>
      <c r="F124" s="97" t="n"/>
      <c r="G124" s="97" t="n"/>
      <c r="H124" s="97" t="n"/>
      <c r="I124" s="97" t="n"/>
      <c r="J124" s="97" t="n"/>
      <c r="K124" s="97" t="n"/>
      <c r="L124" s="97" t="n"/>
      <c r="M124" s="97" t="n"/>
      <c r="N124" s="97" t="n"/>
      <c r="O124" s="97" t="n"/>
      <c r="P124" s="97" t="n"/>
      <c r="Q124" s="97" t="n"/>
      <c r="R124" s="98" t="n"/>
      <c r="S124" s="1" t="n"/>
      <c r="T124" s="1" t="n"/>
      <c r="U124" s="1" t="n"/>
      <c r="V124" s="1" t="n"/>
      <c r="W124" s="1" t="n"/>
      <c r="X124" s="1" t="n"/>
      <c r="Y124" s="1" t="n"/>
      <c r="Z124" s="1" t="n"/>
      <c r="AA124" s="1" t="n"/>
      <c r="AB124" s="1" t="n"/>
    </row>
    <row r="125" ht="12.75" customHeight="1">
      <c r="A125" s="1" t="n"/>
      <c r="B125" s="96" t="n"/>
      <c r="C125" s="97" t="n"/>
      <c r="D125" s="97" t="n"/>
      <c r="E125" s="97" t="n"/>
      <c r="F125" s="97" t="n"/>
      <c r="G125" s="97" t="n"/>
      <c r="H125" s="97" t="n"/>
      <c r="I125" s="97" t="n"/>
      <c r="J125" s="97" t="n"/>
      <c r="K125" s="97" t="n"/>
      <c r="L125" s="97" t="n"/>
      <c r="M125" s="97" t="n"/>
      <c r="N125" s="97" t="n"/>
      <c r="O125" s="97" t="n"/>
      <c r="P125" s="97" t="n"/>
      <c r="Q125" s="97" t="n"/>
      <c r="R125" s="98" t="n"/>
      <c r="S125" s="1" t="n"/>
      <c r="T125" s="1" t="n"/>
      <c r="U125" s="1" t="n"/>
      <c r="V125" s="1" t="n"/>
      <c r="W125" s="1" t="n"/>
      <c r="X125" s="1" t="n"/>
      <c r="Y125" s="1" t="n"/>
      <c r="Z125" s="1" t="n"/>
      <c r="AA125" s="1" t="n"/>
      <c r="AB125" s="1" t="n"/>
    </row>
    <row r="126" ht="12.75" customHeight="1">
      <c r="A126" s="1" t="n"/>
      <c r="B126" s="96" t="n"/>
      <c r="C126" s="97" t="n"/>
      <c r="D126" s="97" t="n"/>
      <c r="E126" s="97" t="n"/>
      <c r="F126" s="97" t="n"/>
      <c r="G126" s="97" t="n"/>
      <c r="H126" s="97" t="n"/>
      <c r="I126" s="97" t="n"/>
      <c r="J126" s="97" t="n"/>
      <c r="K126" s="97" t="n"/>
      <c r="L126" s="97" t="n"/>
      <c r="M126" s="97" t="n"/>
      <c r="N126" s="97" t="n"/>
      <c r="O126" s="97" t="n"/>
      <c r="P126" s="97" t="n"/>
      <c r="Q126" s="97" t="n"/>
      <c r="R126" s="98" t="n"/>
      <c r="S126" s="1" t="n"/>
      <c r="T126" s="1" t="n"/>
      <c r="U126" s="1" t="n"/>
      <c r="V126" s="1" t="n"/>
      <c r="W126" s="1" t="n"/>
      <c r="X126" s="1" t="n"/>
      <c r="Y126" s="1" t="n"/>
      <c r="Z126" s="1" t="n"/>
      <c r="AA126" s="1" t="n"/>
      <c r="AB126" s="1" t="n"/>
    </row>
    <row r="127" ht="14.45" customHeight="1">
      <c r="A127" s="1" t="n"/>
      <c r="B127" s="99" t="n"/>
      <c r="C127" s="100" t="n"/>
      <c r="D127" s="101" t="n"/>
      <c r="E127" s="100" t="n"/>
      <c r="F127" s="100" t="n"/>
      <c r="G127" s="100" t="n"/>
      <c r="H127" s="100" t="n"/>
      <c r="I127" s="100" t="n"/>
      <c r="J127" s="100" t="n"/>
      <c r="K127" s="100" t="n"/>
      <c r="L127" s="100" t="n"/>
      <c r="M127" s="100" t="n"/>
      <c r="N127" s="100" t="n"/>
      <c r="O127" s="100" t="n"/>
      <c r="P127" s="100" t="n"/>
      <c r="Q127" s="100" t="n"/>
      <c r="R127" s="102" t="n"/>
      <c r="S127" s="1" t="n"/>
      <c r="T127" s="1" t="n"/>
      <c r="U127" s="1" t="n"/>
      <c r="V127" s="1" t="n"/>
      <c r="W127" s="1" t="n"/>
      <c r="X127" s="1" t="n"/>
      <c r="Y127" s="1" t="n"/>
      <c r="Z127" s="1" t="n"/>
      <c r="AA127" s="1" t="n"/>
      <c r="AB127" s="1" t="n"/>
    </row>
    <row r="128" ht="14.45" customHeight="1">
      <c r="A128" s="1" t="n"/>
      <c r="B128" s="99" t="n"/>
      <c r="C128" s="100" t="n"/>
      <c r="D128" s="101" t="n"/>
      <c r="E128" s="100" t="n"/>
      <c r="F128" s="100" t="n"/>
      <c r="G128" s="100" t="n"/>
      <c r="H128" s="100" t="n"/>
      <c r="I128" s="100" t="n"/>
      <c r="J128" s="100" t="n"/>
      <c r="K128" s="100" t="n"/>
      <c r="L128" s="100" t="n"/>
      <c r="M128" s="100" t="n"/>
      <c r="N128" s="100" t="n"/>
      <c r="O128" s="100" t="n"/>
      <c r="P128" s="100" t="n"/>
      <c r="Q128" s="100" t="n"/>
      <c r="R128" s="102" t="n"/>
      <c r="S128" s="1" t="n"/>
      <c r="T128" s="1" t="n"/>
      <c r="U128" s="1" t="n"/>
      <c r="V128" s="1" t="n"/>
      <c r="W128" s="1" t="n"/>
      <c r="X128" s="1" t="n"/>
      <c r="Y128" s="1" t="n"/>
      <c r="Z128" s="1" t="n"/>
      <c r="AA128" s="1" t="n"/>
      <c r="AB128" s="1" t="n"/>
    </row>
    <row r="129" ht="14.45" customHeight="1">
      <c r="A129" s="1" t="n"/>
      <c r="B129" s="99" t="n"/>
      <c r="C129" s="100" t="n"/>
      <c r="D129" s="101" t="n"/>
      <c r="E129" s="100" t="n"/>
      <c r="F129" s="100" t="n"/>
      <c r="G129" s="100" t="n"/>
      <c r="H129" s="100" t="n"/>
      <c r="I129" s="100" t="n"/>
      <c r="J129" s="100" t="n"/>
      <c r="K129" s="100" t="n"/>
      <c r="L129" s="100" t="n"/>
      <c r="M129" s="100" t="n"/>
      <c r="N129" s="100" t="n"/>
      <c r="O129" s="100" t="n"/>
      <c r="P129" s="100" t="n"/>
      <c r="Q129" s="100" t="n"/>
      <c r="R129" s="102" t="n"/>
      <c r="S129" s="1" t="n"/>
      <c r="T129" s="1" t="n"/>
      <c r="U129" s="1" t="n"/>
      <c r="V129" s="1" t="n"/>
      <c r="W129" s="1" t="n"/>
      <c r="X129" s="1" t="n"/>
      <c r="Y129" s="1" t="n"/>
      <c r="Z129" s="1" t="n"/>
      <c r="AA129" s="1" t="n"/>
      <c r="AB129" s="1" t="n"/>
    </row>
    <row r="130" ht="12.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2.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2.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2.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2.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2.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2.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2.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2.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2.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2.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2.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2.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2.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2.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2.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2.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2.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2.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2.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2.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2.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2.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2.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2.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2.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2.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2.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2.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2.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2.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2.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2.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2.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2.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2.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2.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2.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2.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2.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2.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2.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2.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2.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2.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2.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2.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2.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2.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2.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2.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2.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2.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2.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2.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2.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2.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2.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2.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2.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2.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2.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2.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2.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2.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2.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2.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2.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2.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2.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2.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2.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2.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2.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2.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2.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2.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2.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2.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2.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2.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2.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2.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2.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2.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2.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2.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2.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2.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2.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2.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2.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row>
    <row r="225" ht="12.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row>
    <row r="226" ht="12.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row>
    <row r="227" ht="12.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row>
    <row r="228" ht="12.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row>
    <row r="229" ht="12.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row>
    <row r="230" ht="12.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row>
    <row r="231" ht="12.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row>
    <row r="232" ht="12.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row>
    <row r="233" ht="12.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row>
    <row r="234" ht="12.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row>
    <row r="235" ht="12.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row>
    <row r="236" ht="12.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row>
    <row r="237" ht="12.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row>
    <row r="238" ht="12.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row>
    <row r="239" ht="12.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row>
    <row r="240" ht="12.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row>
    <row r="241" ht="12.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row>
    <row r="242" ht="12.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row>
    <row r="243" ht="12.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row>
    <row r="244" ht="12.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row>
    <row r="245" ht="12.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row>
    <row r="246" ht="12.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row>
    <row r="247" ht="12.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row>
    <row r="248" ht="12.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row>
    <row r="249" ht="12.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row>
    <row r="250" ht="12.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row>
    <row r="251" ht="12.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row>
    <row r="252" ht="12.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row>
    <row r="253" ht="12.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row>
    <row r="254" ht="12.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row>
    <row r="255" ht="12.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row>
    <row r="256" ht="12.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row>
    <row r="257" ht="12.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row>
    <row r="258" ht="12.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row>
    <row r="259" ht="12.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row>
    <row r="260" ht="12.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row>
    <row r="261" ht="12.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row>
    <row r="262" ht="12.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row>
    <row r="263" ht="12.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row>
    <row r="264" ht="12.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row>
    <row r="265" ht="12.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row>
    <row r="266" ht="12.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row>
    <row r="267" ht="12.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row>
    <row r="268" ht="12.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row>
    <row r="269" ht="12.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row>
    <row r="270" ht="12.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row>
    <row r="271" ht="12.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row>
    <row r="272" ht="12.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row>
    <row r="273" ht="12.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row>
    <row r="274" ht="12.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row>
    <row r="275" ht="12.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row>
    <row r="276" ht="12.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row>
    <row r="277" ht="12.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row>
    <row r="278" ht="12.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row>
    <row r="279" ht="12.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row>
    <row r="280" ht="12.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row>
    <row r="281" ht="12.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row>
    <row r="282" ht="12.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row>
    <row r="283" ht="12.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row>
    <row r="284" ht="12.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row>
    <row r="285" ht="12.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row>
    <row r="286" ht="12.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row>
    <row r="287" ht="12.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row>
    <row r="288" ht="12.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row>
    <row r="289" ht="12.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row>
    <row r="290" ht="12.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row>
    <row r="291" ht="12.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row>
    <row r="292" ht="12.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row>
    <row r="293" ht="12.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row>
    <row r="294" ht="12.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row>
    <row r="295" ht="12.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row>
    <row r="296" ht="12.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row>
    <row r="297" ht="12.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row>
    <row r="298" ht="12.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row>
    <row r="299" ht="12.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row>
    <row r="300" ht="12.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row>
    <row r="301" ht="12.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row>
    <row r="302" ht="12.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row>
    <row r="303" ht="12.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row>
    <row r="304" ht="12.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row>
    <row r="305" ht="12.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row>
    <row r="306" ht="12.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row>
    <row r="307" ht="12.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row>
    <row r="308" ht="12.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row>
    <row r="309" ht="12.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row>
    <row r="310" ht="12.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row>
    <row r="311" ht="12.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row>
    <row r="312" ht="12.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row>
    <row r="313" ht="12.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row>
    <row r="314" ht="12.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row>
    <row r="315" ht="12.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row>
    <row r="316" ht="12.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row>
    <row r="317" ht="12.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row>
    <row r="318" ht="12.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row>
    <row r="319" ht="12.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row>
    <row r="320" ht="12.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row>
    <row r="321" ht="12.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row>
    <row r="322" ht="12.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row>
    <row r="323" ht="12.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row>
    <row r="324" ht="12.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row>
    <row r="325" ht="12.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row>
    <row r="326" ht="12.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row>
    <row r="327" ht="12.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row>
    <row r="328" ht="12.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row>
    <row r="329" ht="12.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3:R3"/>
    <mergeCell ref="E3:K3"/>
  </mergeCells>
  <pageMargins left="0.75" right="0.75" top="1" bottom="1" header="0" footer="0"/>
  <pageSetup orientation="portrait" paperSize="1" scale="35"/>
</worksheet>
</file>

<file path=xl/worksheets/sheet4.xml><?xml version="1.0" encoding="utf-8"?>
<worksheet xmlns="http://schemas.openxmlformats.org/spreadsheetml/2006/main">
  <sheetPr>
    <outlinePr summaryBelow="1" summaryRight="1"/>
    <pageSetUpPr/>
  </sheetPr>
  <dimension ref="A1:K32"/>
  <sheetViews>
    <sheetView tabSelected="1" workbookViewId="0">
      <selection activeCell="D8" sqref="D8"/>
    </sheetView>
  </sheetViews>
  <sheetFormatPr baseColWidth="8" defaultColWidth="9" defaultRowHeight="14.4"/>
  <cols>
    <col width="4" customWidth="1" style="68" min="1" max="1"/>
    <col width="6" customWidth="1" style="68" min="2" max="2"/>
    <col width="28" customWidth="1" style="68" min="3" max="3"/>
    <col width="26" customWidth="1" style="68" min="4" max="4"/>
    <col width="54.7589285714286" customWidth="1" style="68" min="5" max="5"/>
    <col width="22" customWidth="1" style="68" min="6" max="6"/>
    <col width="24" customWidth="1" style="68" min="7" max="7"/>
    <col width="30" customWidth="1" style="68" min="8" max="9"/>
    <col width="38" customWidth="1" style="68" min="10" max="10"/>
    <col width="40" customWidth="1" style="68" min="11" max="11"/>
    <col width="9" customWidth="1" style="68" min="12" max="16384"/>
  </cols>
  <sheetData>
    <row r="1" ht="17.6" customHeight="1">
      <c r="A1" s="2" t="n"/>
      <c r="B1" s="2" t="n"/>
      <c r="C1" s="2" t="n"/>
      <c r="D1" s="2" t="n"/>
      <c r="E1" s="2" t="n"/>
      <c r="F1" s="2" t="n"/>
      <c r="G1" s="2" t="n"/>
      <c r="H1" s="2" t="n"/>
      <c r="I1" s="2" t="n"/>
      <c r="J1" s="2" t="n"/>
      <c r="K1" s="2" t="n"/>
    </row>
    <row r="2" ht="22" customHeight="1">
      <c r="A2" s="2" t="n"/>
      <c r="B2" s="69" t="inlineStr">
        <is>
          <t>DANH SÁCH TÀI KHOẢN &amp; KHÔNG GIAN LÀM VIỆC KIỂM THỬ HỆ THỐNG</t>
        </is>
      </c>
      <c r="C2" s="2" t="n"/>
      <c r="D2" s="2" t="n"/>
      <c r="E2" s="2" t="n"/>
      <c r="F2" s="2" t="n"/>
      <c r="G2" s="2" t="n"/>
      <c r="H2" s="2" t="n"/>
      <c r="I2" s="2" t="n"/>
      <c r="J2" s="2" t="n"/>
      <c r="K2" s="2" t="n"/>
    </row>
    <row r="3" ht="17.6" customHeight="1">
      <c r="A3" s="2" t="n"/>
      <c r="B3" s="70" t="inlineStr">
        <is>
          <t>Hệ thống KingContent / King Hub Social - Dữ liệu môi trường Staging / Local Test</t>
        </is>
      </c>
      <c r="C3" s="2" t="n"/>
      <c r="D3" s="2" t="n"/>
      <c r="E3" s="2" t="n"/>
      <c r="F3" s="2" t="n"/>
      <c r="G3" s="2" t="n"/>
      <c r="H3" s="2" t="n"/>
      <c r="I3" s="2" t="n"/>
      <c r="J3" s="2" t="n"/>
      <c r="K3" s="2" t="n"/>
    </row>
    <row r="4" ht="17.6" customHeight="1">
      <c r="A4" s="2" t="n"/>
      <c r="B4" s="2" t="n"/>
      <c r="C4" s="2" t="n"/>
      <c r="D4" s="2" t="n"/>
      <c r="E4" s="2" t="n"/>
      <c r="F4" s="2" t="n"/>
      <c r="G4" s="2" t="n"/>
      <c r="H4" s="2" t="n"/>
      <c r="I4" s="2" t="n"/>
      <c r="J4" s="2" t="n"/>
      <c r="K4" s="2" t="n"/>
    </row>
    <row r="5" ht="28" customHeight="1">
      <c r="A5" s="2" t="n"/>
      <c r="B5" s="71" t="inlineStr">
        <is>
          <t>1. DANH SÁCH TÀI KHOẢN NGƯỜI DÙNG &amp; SHEET KIỂM THỬ TƯƠNG ỨNG (USER ACCOUNTS &amp; MAPPING)</t>
        </is>
      </c>
    </row>
    <row r="6" ht="24" customHeight="1">
      <c r="A6" s="2" t="n"/>
      <c r="B6" s="72" t="inlineStr">
        <is>
          <t>STT</t>
        </is>
      </c>
      <c r="C6" s="72" t="inlineStr">
        <is>
          <t>Loại tài khoản / Vai trò</t>
        </is>
      </c>
      <c r="D6" s="72" t="inlineStr">
        <is>
          <t>Họ và tên</t>
        </is>
      </c>
      <c r="E6" s="72" t="inlineStr">
        <is>
          <t>Email đăng nhập</t>
        </is>
      </c>
      <c r="F6" s="72" t="inlineStr">
        <is>
          <t>Mật khẩu mặc định</t>
        </is>
      </c>
      <c r="G6" s="72" t="inlineStr">
        <is>
          <t>Trạng thái Email</t>
        </is>
      </c>
      <c r="H6" s="72" t="inlineStr">
        <is>
          <t>Quyền hạn chi tiết</t>
        </is>
      </c>
      <c r="I6" s="72" t="inlineStr">
        <is>
          <t>Workspace mặc định</t>
        </is>
      </c>
      <c r="J6" s="72" t="inlineStr">
        <is>
          <t>DÙNG CHO TEST CASE / SHEET NÀO?</t>
        </is>
      </c>
      <c r="K6" s="72" t="inlineStr">
        <is>
          <t>Mục đích kiểm thử</t>
        </is>
      </c>
    </row>
    <row r="7" ht="36" customHeight="1">
      <c r="A7" s="2" t="n"/>
      <c r="B7" s="73" t="n">
        <v>1</v>
      </c>
      <c r="C7" s="74" t="inlineStr">
        <is>
          <t>Super Admin / Owner</t>
        </is>
      </c>
      <c r="D7" s="74" t="inlineStr">
        <is>
          <t>KingHub Root Admin</t>
        </is>
      </c>
      <c r="E7" s="75" t="inlineStr">
        <is>
          <t>superadmin.kinghub@gmail.com</t>
        </is>
      </c>
      <c r="F7" s="75" t="inlineStr">
        <is>
          <t>KingHub@2026Test</t>
        </is>
      </c>
      <c r="G7" s="73" t="inlineStr">
        <is>
          <t>Đã xác thực (Verified)</t>
        </is>
      </c>
      <c r="H7" s="74" t="inlineStr">
        <is>
          <t>Toàn quyền hệ thống, Chủ sở hữu Account, Admin trên tất cả Workspace</t>
        </is>
      </c>
      <c r="I7" s="74" t="inlineStr">
        <is>
          <t>KingHub Master Workspace</t>
        </is>
      </c>
      <c r="J7" s="74" t="inlineStr">
        <is>
          <t>TC-Auth-Workspace
 TC-Analytics-Reports
 TC-P2-Workflow-Auth</t>
        </is>
      </c>
      <c r="K7" s="74" t="inlineStr">
        <is>
          <t>Kiểm thử phân quyền tối cao, quản trị toàn bộ tài nguyên và xem báo cáo tổng thể</t>
        </is>
      </c>
    </row>
    <row r="8" ht="36" customHeight="1">
      <c r="A8" s="2" t="n"/>
      <c r="B8" s="73" t="n">
        <v>2</v>
      </c>
      <c r="C8" s="74" t="inlineStr">
        <is>
          <t>Workspace Admin</t>
        </is>
      </c>
      <c r="D8" s="74" t="inlineStr">
        <is>
          <t>Workspace Admin Demo</t>
        </is>
      </c>
      <c r="E8" s="75" t="inlineStr">
        <is>
          <t>wsadmin.kinghub@gmail.com</t>
        </is>
      </c>
      <c r="F8" s="75" t="inlineStr">
        <is>
          <t>KingHub@2026Test</t>
        </is>
      </c>
      <c r="G8" s="73" t="inlineStr">
        <is>
          <t>Đã xác thực (Verified)</t>
        </is>
      </c>
      <c r="H8" s="74" t="inlineStr">
        <is>
          <t>Admin Workspace (Toàn quyền quản lý kênh, thành viên, cài đặt Workspace)</t>
        </is>
      </c>
      <c r="I8" s="74" t="inlineStr">
        <is>
          <t>King Coffee Global</t>
        </is>
      </c>
      <c r="J8" s="74" t="inlineStr">
        <is>
          <t>TC-Social-Accounts
 TC-Content-Workflows
 TC-P2-Social-Accounts</t>
        </is>
      </c>
      <c r="K8" s="74" t="inlineStr">
        <is>
          <t>Kiểm thử quản lý team, thêm bớt kênh MXH, duyệt bài và cấu hình luồng xuất bản</t>
        </is>
      </c>
    </row>
    <row r="9" ht="36" customHeight="1">
      <c r="A9" s="2" t="n"/>
      <c r="B9" s="73" t="n">
        <v>3</v>
      </c>
      <c r="C9" s="74" t="inlineStr">
        <is>
          <t>Full Member (Content &amp; Chat)</t>
        </is>
      </c>
      <c r="D9" s="74" t="inlineStr">
        <is>
          <t>Full Member Tester</t>
        </is>
      </c>
      <c r="E9" s="75" t="inlineStr">
        <is>
          <t>fullmember.kinghub@gmail.com</t>
        </is>
      </c>
      <c r="F9" s="75" t="inlineStr">
        <is>
          <t>KingHub@2026Test</t>
        </is>
      </c>
      <c r="G9" s="73" t="inlineStr">
        <is>
          <t>Đã xác thực (Verified)</t>
        </is>
      </c>
      <c r="H9" s="74" t="inlineStr">
        <is>
          <t>Thành viên chính thức: Đăng bài/Lên lịch + Trực chat Omnichat</t>
        </is>
      </c>
      <c r="I9" s="74" t="inlineStr">
        <is>
          <t>King Coffee Global</t>
        </is>
      </c>
      <c r="J9" s="74" t="inlineStr">
        <is>
          <t>TC-Post-Composer
 TC-Content-Calendar
 TC-Media-Library
 TC-P2-Post-Composer</t>
        </is>
      </c>
      <c r="K9" s="74" t="inlineStr">
        <is>
          <t>Kiểm thử trọn vẹn quy trình tạo bài, tải media, lên lịch lịch đăng và phản hồi tin nhắn</t>
        </is>
      </c>
    </row>
    <row r="10" ht="36" customHeight="1">
      <c r="A10" s="2" t="n"/>
      <c r="B10" s="73" t="n">
        <v>4</v>
      </c>
      <c r="C10" s="74" t="inlineStr">
        <is>
          <t>Content Only Member</t>
        </is>
      </c>
      <c r="D10" s="74" t="inlineStr">
        <is>
          <t>Content Creator Tester</t>
        </is>
      </c>
      <c r="E10" s="75" t="inlineStr">
        <is>
          <t>content.kinghub@gmail.com</t>
        </is>
      </c>
      <c r="F10" s="75" t="inlineStr">
        <is>
          <t>KingHub@2026Test</t>
        </is>
      </c>
      <c r="G10" s="73" t="inlineStr">
        <is>
          <t>Đã xác thực (Verified)</t>
        </is>
      </c>
      <c r="H10" s="74" t="inlineStr">
        <is>
          <t>Chỉ có quyền Content (can_content=true, can_omnichat=false)</t>
        </is>
      </c>
      <c r="I10" s="74" t="inlineStr">
        <is>
          <t>King Coffee Global</t>
        </is>
      </c>
      <c r="J10" s="74" t="inlineStr">
        <is>
          <t>TC-AI-Studio-Clone
 TC-P2-AI-Studio
(Kiểm thử chặn 403 Omnichat)</t>
        </is>
      </c>
      <c r="K10" s="74" t="inlineStr">
        <is>
          <t>Kiểm thử trợ lý AI Studio, Clone bài viết, chặn truy cập menu Omnichat</t>
        </is>
      </c>
    </row>
    <row r="11" ht="36" customHeight="1">
      <c r="A11" s="2" t="n"/>
      <c r="B11" s="73" t="n">
        <v>5</v>
      </c>
      <c r="C11" s="74" t="inlineStr">
        <is>
          <t>Omnichat CSKH Member</t>
        </is>
      </c>
      <c r="D11" s="74" t="inlineStr">
        <is>
          <t>Omnichat Agent Tester</t>
        </is>
      </c>
      <c r="E11" s="75" t="inlineStr">
        <is>
          <t>omnichat.kinghub@gmail.com</t>
        </is>
      </c>
      <c r="F11" s="75" t="inlineStr">
        <is>
          <t>KingHub@2026Test</t>
        </is>
      </c>
      <c r="G11" s="73" t="inlineStr">
        <is>
          <t>Đã xác thực (Verified)</t>
        </is>
      </c>
      <c r="H11" s="74" t="inlineStr">
        <is>
          <t>Chỉ có quyền Omnichat (can_omnichat=true, can_content=false)</t>
        </is>
      </c>
      <c r="I11" s="74" t="inlineStr">
        <is>
          <t>King Coffee Global</t>
        </is>
      </c>
      <c r="J11" s="74" t="inlineStr">
        <is>
          <t>TC-Omnichat-CRM
 TC-P2-Omnichat-Analytics
(Kiểm thử ẩn nút tạo bài)</t>
        </is>
      </c>
      <c r="K11" s="74" t="inlineStr">
        <is>
          <t>Kiểm thử trực chat đa kênh Facebook/Zalo/Shopee, tiếp nhận lead, chuyển hội thoại</t>
        </is>
      </c>
    </row>
    <row r="12" ht="36" customHeight="1">
      <c r="A12" s="2" t="n"/>
      <c r="B12" s="73" t="n">
        <v>6</v>
      </c>
      <c r="C12" s="74" t="inlineStr">
        <is>
          <t>External Member (Invited)</t>
        </is>
      </c>
      <c r="D12" s="74" t="inlineStr">
        <is>
          <t>External Guest Tester</t>
        </is>
      </c>
      <c r="E12" s="75" t="inlineStr">
        <is>
          <t>guest.kinghub@gmail.com</t>
        </is>
      </c>
      <c r="F12" s="75" t="inlineStr">
        <is>
          <t>KingHub@2026Test</t>
        </is>
      </c>
      <c r="G12" s="73" t="inlineStr">
        <is>
          <t>Chờ xác thực / Invite</t>
        </is>
      </c>
      <c r="H12" s="74" t="inlineStr">
        <is>
          <t>Thành viên khách mời qua liên kết Invite Code</t>
        </is>
      </c>
      <c r="I12" s="74" t="inlineStr">
        <is>
          <t>TNI Retail Workspace</t>
        </is>
      </c>
      <c r="J12" s="74" t="inlineStr">
        <is>
          <t>TC-Auth-Workspace
(Mục Mời thành viên / Invite)</t>
        </is>
      </c>
      <c r="K12" s="74" t="inlineStr">
        <is>
          <t>Kiểm thử luồng nhận lời mời qua Email/Link, nhập Join Code tham gia Workspace</t>
        </is>
      </c>
    </row>
    <row r="13" ht="36" customHeight="1">
      <c r="A13" s="2" t="n"/>
      <c r="B13" s="73" t="n">
        <v>7</v>
      </c>
      <c r="C13" s="74" t="inlineStr">
        <is>
          <t>SSO Keycloak User</t>
        </is>
      </c>
      <c r="D13" s="74" t="inlineStr">
        <is>
          <t>SSO Keycloak Tester</t>
        </is>
      </c>
      <c r="E13" s="76" t="inlineStr">
        <is>
          <t xml:space="preserve">Suự dụng tài khoản TNI </t>
        </is>
      </c>
      <c r="F13" s="161" t="n"/>
      <c r="G13" s="73" t="inlineStr">
        <is>
          <t>Đồng bộ SSO</t>
        </is>
      </c>
      <c r="H13" s="74" t="inlineStr">
        <is>
          <t>Tài khoản đăng nhập Single Sign-On từ Keycloak King Coffee</t>
        </is>
      </c>
      <c r="I13" s="74" t="inlineStr">
        <is>
          <t>Tự động gán theo SSO</t>
        </is>
      </c>
      <c r="J13" s="74" t="inlineStr">
        <is>
          <t>TC-Auth-Workspace
(Mục SSO Keycloak [AUTH-SSO])</t>
        </is>
      </c>
      <c r="K13" s="74" t="inlineStr">
        <is>
          <t>Kiểm thử đăng nhập một chạm SSO, callback xác thực &amp; tự động gia nhập Workspace</t>
        </is>
      </c>
    </row>
    <row r="14" ht="17.6" customHeight="1">
      <c r="A14" s="2" t="n"/>
      <c r="B14" s="2" t="n"/>
      <c r="C14" s="2" t="n"/>
      <c r="D14" s="2" t="n"/>
      <c r="E14" s="2" t="n"/>
      <c r="F14" s="2" t="n"/>
      <c r="G14" s="2" t="n"/>
      <c r="H14" s="2" t="n"/>
      <c r="I14" s="2" t="n"/>
      <c r="J14" s="2" t="n"/>
      <c r="K14" s="2" t="n"/>
    </row>
    <row r="15" ht="17.6" customHeight="1">
      <c r="A15" s="2" t="n"/>
      <c r="B15" s="2" t="n"/>
      <c r="C15" s="2" t="n"/>
      <c r="D15" s="2" t="n"/>
      <c r="E15" s="2" t="n"/>
      <c r="F15" s="2" t="n"/>
      <c r="G15" s="2" t="n"/>
      <c r="H15" s="2" t="n"/>
      <c r="I15" s="2" t="n"/>
      <c r="J15" s="2" t="n"/>
      <c r="K15" s="2" t="n"/>
    </row>
    <row r="16" ht="28" customHeight="1">
      <c r="A16" s="2" t="n"/>
      <c r="B16" s="78" t="inlineStr">
        <is>
          <t>2. DANH SÁCH KHÔNG GIAN LÀM VIỆC KIỂM THỬ (WORKSPACES TEST ENVIRONMENT)</t>
        </is>
      </c>
      <c r="K16" s="2" t="n"/>
    </row>
    <row r="17" ht="24" customHeight="1">
      <c r="A17" s="2" t="n"/>
      <c r="B17" s="72" t="inlineStr">
        <is>
          <t>STT</t>
        </is>
      </c>
      <c r="C17" s="72" t="inlineStr">
        <is>
          <t>Tên Workspace</t>
        </is>
      </c>
      <c r="D17" s="72" t="inlineStr">
        <is>
          <t>Mã Join Code</t>
        </is>
      </c>
      <c r="E17" s="72" t="inlineStr">
        <is>
          <t>Chủ sở hữu (Owner)</t>
        </is>
      </c>
      <c r="F17" s="72" t="inlineStr">
        <is>
          <t>Trạng thái</t>
        </is>
      </c>
      <c r="G17" s="72" t="inlineStr">
        <is>
          <t>Thương hiệu &amp; Website</t>
        </is>
      </c>
      <c r="H17" s="72" t="inlineStr">
        <is>
          <t>Ngôn ngữ mặc định</t>
        </is>
      </c>
      <c r="I17" s="72" t="inlineStr">
        <is>
          <t>Kênh MXH liên kết</t>
        </is>
      </c>
      <c r="J17" s="72" t="inlineStr">
        <is>
          <t>Mục tiêu kiểm thử nghiệp vụ</t>
        </is>
      </c>
      <c r="K17" s="2" t="n"/>
    </row>
    <row r="18" ht="26" customHeight="1">
      <c r="A18" s="2" t="n"/>
      <c r="B18" s="73" t="n">
        <v>1</v>
      </c>
      <c r="C18" s="74" t="inlineStr">
        <is>
          <t>KingHub Master Workspace</t>
        </is>
      </c>
      <c r="D18" s="76" t="inlineStr">
        <is>
          <t>KINGHUB01</t>
        </is>
      </c>
      <c r="E18" s="74" t="inlineStr">
        <is>
          <t>superadmin.kinghub@gmail.com</t>
        </is>
      </c>
      <c r="F18" s="73" t="inlineStr">
        <is>
          <t>active</t>
        </is>
      </c>
      <c r="G18" s="74" t="inlineStr">
        <is>
          <t>KingHub Social (kinghub.vn)</t>
        </is>
      </c>
      <c r="H18" s="73" t="inlineStr">
        <is>
          <t>Tiếng Việt (vi)</t>
        </is>
      </c>
      <c r="I18" s="74" t="inlineStr">
        <is>
          <t>Facebook Page, Zalo OA, Shopee, Telegram</t>
        </is>
      </c>
      <c r="J18" s="74" t="inlineStr">
        <is>
          <t>Kiểm thử môi trường gốc của Super Admin, kết nối đa kênh trung tâm</t>
        </is>
      </c>
      <c r="K18" s="2" t="n"/>
    </row>
    <row r="19" ht="26" customHeight="1">
      <c r="A19" s="2" t="n"/>
      <c r="B19" s="73" t="n">
        <v>2</v>
      </c>
      <c r="C19" s="74" t="inlineStr">
        <is>
          <t>King Coffee Global</t>
        </is>
      </c>
      <c r="D19" s="76" t="inlineStr">
        <is>
          <t>KCGROUP</t>
        </is>
      </c>
      <c r="E19" s="74" t="inlineStr">
        <is>
          <t>wsadmin.kinghub@gmail.com</t>
        </is>
      </c>
      <c r="F19" s="73" t="inlineStr">
        <is>
          <t>active</t>
        </is>
      </c>
      <c r="G19" s="74" t="inlineStr">
        <is>
          <t>King Coffee (kingcoffee.com)</t>
        </is>
      </c>
      <c r="H19" s="73" t="inlineStr">
        <is>
          <t>Tiếng Việt / Tiếng Anh</t>
        </is>
      </c>
      <c r="I19" s="74" t="inlineStr">
        <is>
          <t>Facebook, Instagram, TikTok, YouTube, LinkedIn</t>
        </is>
      </c>
      <c r="J19" s="74" t="inlineStr">
        <is>
          <t>Kiểm thử xuất bản đa kênh quốc tế, phân quyền team và duyệt bài qua Workflow</t>
        </is>
      </c>
      <c r="K19" s="2" t="n"/>
    </row>
    <row r="20" ht="26" customHeight="1">
      <c r="A20" s="2" t="n"/>
      <c r="B20" s="73" t="n">
        <v>3</v>
      </c>
      <c r="C20" s="74" t="inlineStr">
        <is>
          <t>TNI Retail &amp; Franchise</t>
        </is>
      </c>
      <c r="D20" s="76" t="inlineStr">
        <is>
          <t>TNIRETAIL</t>
        </is>
      </c>
      <c r="E20" s="74" t="inlineStr">
        <is>
          <t>superadmin.kinghub@gmail.com</t>
        </is>
      </c>
      <c r="F20" s="73" t="inlineStr">
        <is>
          <t>active</t>
        </is>
      </c>
      <c r="G20" s="74" t="inlineStr">
        <is>
          <t>TNI Corporation (tnicorporation.com)</t>
        </is>
      </c>
      <c r="H20" s="73" t="inlineStr">
        <is>
          <t>Tiếng Việt (vi)</t>
        </is>
      </c>
      <c r="I20" s="74" t="inlineStr">
        <is>
          <t>Zalo OA CSKH, Shopee Shop, Lazada Mall</t>
        </is>
      </c>
      <c r="J20" s="74" t="inlineStr">
        <is>
          <t>Kiểm thử sàn TMĐT, nhận đơn hàng, tiếp nhận tin nhắn Omnichat &amp; Automation Lead</t>
        </is>
      </c>
      <c r="K20" s="2" t="n"/>
    </row>
    <row r="21" ht="26" customHeight="1">
      <c r="A21" s="2" t="n"/>
      <c r="B21" s="73" t="n">
        <v>4</v>
      </c>
      <c r="C21" s="74" t="inlineStr">
        <is>
          <t>Workspace Lưu trữ (Closed)</t>
        </is>
      </c>
      <c r="D21" s="76" t="inlineStr">
        <is>
          <t>CLOSED09</t>
        </is>
      </c>
      <c r="E21" s="74" t="inlineStr">
        <is>
          <t>superadmin.kinghub@gmail.com</t>
        </is>
      </c>
      <c r="F21" s="73" t="inlineStr">
        <is>
          <t>closed</t>
        </is>
      </c>
      <c r="G21" s="74" t="inlineStr">
        <is>
          <t>Test Brand (test.com)</t>
        </is>
      </c>
      <c r="H21" s="73" t="inlineStr">
        <is>
          <t>Tiếng Việt (vi)</t>
        </is>
      </c>
      <c r="I21" s="74" t="inlineStr">
        <is>
          <t>Không có kênh kích hoạt</t>
        </is>
      </c>
      <c r="J21" s="74" t="inlineStr">
        <is>
          <t>Kiểm thử cơ chế bảo vệ: Chặn truy cập thành viên thường khi Workspace bị đóng (403 guard)</t>
        </is>
      </c>
      <c r="K21" s="2" t="n"/>
    </row>
    <row r="22" ht="17.6" customHeight="1">
      <c r="A22" s="2" t="n"/>
      <c r="B22" s="2" t="n"/>
      <c r="C22" s="2" t="n"/>
      <c r="D22" s="2" t="n"/>
      <c r="E22" s="2" t="n"/>
      <c r="F22" s="2" t="n"/>
      <c r="G22" s="2" t="n"/>
      <c r="H22" s="2" t="n"/>
      <c r="I22" s="2" t="n"/>
      <c r="J22" s="2" t="n"/>
      <c r="K22" s="2" t="n"/>
    </row>
    <row r="23" ht="17.6" customHeight="1">
      <c r="A23" s="2" t="n"/>
      <c r="B23" s="2" t="n"/>
      <c r="C23" s="2" t="n"/>
      <c r="D23" s="2" t="n"/>
      <c r="E23" s="2" t="n"/>
      <c r="F23" s="2" t="n"/>
      <c r="G23" s="2" t="n"/>
      <c r="H23" s="2" t="n"/>
      <c r="I23" s="2" t="n"/>
      <c r="J23" s="2" t="n"/>
      <c r="K23" s="2" t="n"/>
    </row>
    <row r="24" ht="28" customHeight="1">
      <c r="A24" s="2" t="n"/>
      <c r="B24" s="79" t="inlineStr">
        <is>
          <t>3. MA TRẬN PHÂN QUYỀN TRUY CẬP GIỮA CÁC TÀI KHOẢN VÀ WORKSPACE (PERMISSION MATRIX)</t>
        </is>
      </c>
      <c r="K24" s="2" t="n"/>
    </row>
    <row r="25" ht="24" customHeight="1">
      <c r="A25" s="2" t="n"/>
      <c r="B25" s="72" t="inlineStr">
        <is>
          <t>STT</t>
        </is>
      </c>
      <c r="C25" s="72" t="inlineStr">
        <is>
          <t>Tài khoản kiểm thử</t>
        </is>
      </c>
      <c r="D25" s="72" t="inlineStr">
        <is>
          <t>Vai trò (Role)</t>
        </is>
      </c>
      <c r="E25" s="72" t="inlineStr">
        <is>
          <t>KingHub Master WS</t>
        </is>
      </c>
      <c r="F25" s="72" t="inlineStr">
        <is>
          <t>King Coffee Global WS</t>
        </is>
      </c>
      <c r="G25" s="72" t="inlineStr">
        <is>
          <t>TNI Retail WS</t>
        </is>
      </c>
      <c r="H25" s="72" t="inlineStr">
        <is>
          <t>Closed WS</t>
        </is>
      </c>
      <c r="I25" s="72" t="inlineStr">
        <is>
          <t>Quyền Đăng bài (Content)</t>
        </is>
      </c>
      <c r="J25" s="72" t="inlineStr">
        <is>
          <t>Quyền Trực chat (Omnichat)</t>
        </is>
      </c>
      <c r="K25" s="2" t="n"/>
    </row>
    <row r="26" ht="24" customHeight="1">
      <c r="A26" s="2" t="n"/>
      <c r="B26" s="73" t="n">
        <v>1</v>
      </c>
      <c r="C26" s="74" t="inlineStr">
        <is>
          <t>superadmin.kinghub@gmail.com</t>
        </is>
      </c>
      <c r="D26" s="73" t="inlineStr">
        <is>
          <t>Super Admin / Owner</t>
        </is>
      </c>
      <c r="E26" s="73" t="inlineStr">
        <is>
          <t>Toàn quyền (Owner)</t>
        </is>
      </c>
      <c r="F26" s="73" t="inlineStr">
        <is>
          <t>Toàn quyền (Admin)</t>
        </is>
      </c>
      <c r="G26" s="73" t="inlineStr">
        <is>
          <t>Toàn quyền (Admin)</t>
        </is>
      </c>
      <c r="H26" s="73" t="inlineStr">
        <is>
          <t>Truy cập được (Owner)</t>
        </is>
      </c>
      <c r="I26" s="73" t="inlineStr">
        <is>
          <t>Có (Full)</t>
        </is>
      </c>
      <c r="J26" s="73" t="inlineStr">
        <is>
          <t>Có (Full)</t>
        </is>
      </c>
      <c r="K26" s="2" t="n"/>
    </row>
    <row r="27" ht="24" customHeight="1">
      <c r="A27" s="2" t="n"/>
      <c r="B27" s="73" t="n">
        <v>2</v>
      </c>
      <c r="C27" s="74" t="inlineStr">
        <is>
          <t>wsadmin.kinghub@gmail.com</t>
        </is>
      </c>
      <c r="D27" s="73" t="inlineStr">
        <is>
          <t>Workspace Admin</t>
        </is>
      </c>
      <c r="E27" s="73" t="inlineStr">
        <is>
          <t>Không thuộc</t>
        </is>
      </c>
      <c r="F27" s="73" t="inlineStr">
        <is>
          <t>Toàn quyền (Owner/Admin)</t>
        </is>
      </c>
      <c r="G27" s="73" t="inlineStr">
        <is>
          <t>Admin</t>
        </is>
      </c>
      <c r="H27" s="73" t="inlineStr">
        <is>
          <t>Không truy cập (403)</t>
        </is>
      </c>
      <c r="I27" s="73" t="inlineStr">
        <is>
          <t>Có</t>
        </is>
      </c>
      <c r="J27" s="73" t="inlineStr">
        <is>
          <t>Có</t>
        </is>
      </c>
      <c r="K27" s="2" t="n"/>
    </row>
    <row r="28" ht="24" customHeight="1">
      <c r="A28" s="2" t="n"/>
      <c r="B28" s="73" t="n">
        <v>3</v>
      </c>
      <c r="C28" s="74" t="inlineStr">
        <is>
          <t>fullmember.kinghub@gmail.com</t>
        </is>
      </c>
      <c r="D28" s="73" t="inlineStr">
        <is>
          <t>Member Full</t>
        </is>
      </c>
      <c r="E28" s="73" t="inlineStr">
        <is>
          <t>Không thuộc</t>
        </is>
      </c>
      <c r="F28" s="73" t="inlineStr">
        <is>
          <t>Thành viên (Member)</t>
        </is>
      </c>
      <c r="G28" s="73" t="inlineStr">
        <is>
          <t>Không thuộc</t>
        </is>
      </c>
      <c r="H28" s="73" t="inlineStr">
        <is>
          <t>Không truy cập (403)</t>
        </is>
      </c>
      <c r="I28" s="73" t="inlineStr">
        <is>
          <t>Có</t>
        </is>
      </c>
      <c r="J28" s="73" t="inlineStr">
        <is>
          <t>Có</t>
        </is>
      </c>
      <c r="K28" s="2" t="n"/>
    </row>
    <row r="29" ht="24" customHeight="1">
      <c r="A29" s="2" t="n"/>
      <c r="B29" s="73" t="n">
        <v>4</v>
      </c>
      <c r="C29" s="74" t="inlineStr">
        <is>
          <t>content.kinghub@gmail.com</t>
        </is>
      </c>
      <c r="D29" s="73" t="inlineStr">
        <is>
          <t>Member Content Only</t>
        </is>
      </c>
      <c r="E29" s="73" t="inlineStr">
        <is>
          <t>Không thuộc</t>
        </is>
      </c>
      <c r="F29" s="73" t="inlineStr">
        <is>
          <t>Thành viên (Member)</t>
        </is>
      </c>
      <c r="G29" s="73" t="inlineStr">
        <is>
          <t>Không thuộc</t>
        </is>
      </c>
      <c r="H29" s="73" t="inlineStr">
        <is>
          <t>Không truy cập (403)</t>
        </is>
      </c>
      <c r="I29" s="73" t="inlineStr">
        <is>
          <t>Có</t>
        </is>
      </c>
      <c r="J29" s="73" t="inlineStr">
        <is>
          <t>Không (Bị chặn 403)</t>
        </is>
      </c>
      <c r="K29" s="2" t="n"/>
    </row>
    <row r="30" ht="24" customHeight="1">
      <c r="A30" s="2" t="n"/>
      <c r="B30" s="73" t="n">
        <v>5</v>
      </c>
      <c r="C30" s="74" t="inlineStr">
        <is>
          <t>omnichat.kinghub@gmail.com</t>
        </is>
      </c>
      <c r="D30" s="73" t="inlineStr">
        <is>
          <t>Member CSKH Only</t>
        </is>
      </c>
      <c r="E30" s="73" t="inlineStr">
        <is>
          <t>Không thuộc</t>
        </is>
      </c>
      <c r="F30" s="73" t="inlineStr">
        <is>
          <t>Thành viên (Member)</t>
        </is>
      </c>
      <c r="G30" s="73" t="inlineStr">
        <is>
          <t>Không thuộc</t>
        </is>
      </c>
      <c r="H30" s="73" t="inlineStr">
        <is>
          <t>Không truy cập (403)</t>
        </is>
      </c>
      <c r="I30" s="73" t="inlineStr">
        <is>
          <t>Không (Bị ẩn nút tạo)</t>
        </is>
      </c>
      <c r="J30" s="73" t="inlineStr">
        <is>
          <t>Có</t>
        </is>
      </c>
      <c r="K30" s="2" t="n"/>
    </row>
    <row r="31" ht="24" customHeight="1">
      <c r="A31" s="2" t="n"/>
      <c r="B31" s="73" t="n">
        <v>6</v>
      </c>
      <c r="C31" s="74" t="inlineStr">
        <is>
          <t>guest.kinghub@gmail.com</t>
        </is>
      </c>
      <c r="D31" s="73" t="inlineStr">
        <is>
          <t>Guest / Invited</t>
        </is>
      </c>
      <c r="E31" s="73" t="inlineStr">
        <is>
          <t>Không thuộc</t>
        </is>
      </c>
      <c r="F31" s="73" t="inlineStr">
        <is>
          <t>Không thuộc</t>
        </is>
      </c>
      <c r="G31" s="73" t="inlineStr">
        <is>
          <t>Chờ chấp nhận Invite</t>
        </is>
      </c>
      <c r="H31" s="73" t="inlineStr">
        <is>
          <t>Không truy cập (403)</t>
        </is>
      </c>
      <c r="I31" s="73" t="inlineStr">
        <is>
          <t>Tùy chọn khi duyệt</t>
        </is>
      </c>
      <c r="J31" s="73" t="inlineStr">
        <is>
          <t>Tùy chọn khi duyệt</t>
        </is>
      </c>
      <c r="K31" s="2" t="n"/>
    </row>
    <row r="32" ht="24" customHeight="1">
      <c r="A32" s="2" t="n"/>
      <c r="B32" s="73" t="n">
        <v>7</v>
      </c>
      <c r="C32" s="74" t="inlineStr">
        <is>
          <t>sso.kinghub@gmail.com</t>
        </is>
      </c>
      <c r="D32" s="73" t="inlineStr">
        <is>
          <t>SSO Keycloak User</t>
        </is>
      </c>
      <c r="E32" s="73" t="inlineStr">
        <is>
          <t>Không thuộc</t>
        </is>
      </c>
      <c r="F32" s="73" t="inlineStr">
        <is>
          <t>Thành viên (Member)</t>
        </is>
      </c>
      <c r="G32" s="73" t="inlineStr">
        <is>
          <t>Không thuộc</t>
        </is>
      </c>
      <c r="H32" s="73" t="inlineStr">
        <is>
          <t>Không truy cập (403)</t>
        </is>
      </c>
      <c r="I32" s="73" t="inlineStr">
        <is>
          <t>Có</t>
        </is>
      </c>
      <c r="J32" s="73" t="inlineStr">
        <is>
          <t>Có</t>
        </is>
      </c>
      <c r="K32" s="2" t="n"/>
    </row>
  </sheetData>
  <mergeCells count="5">
    <mergeCell ref="B5:J5"/>
    <mergeCell ref="E13:F13"/>
    <mergeCell ref="B5:K5"/>
    <mergeCell ref="B24:J24"/>
    <mergeCell ref="B16:J16"/>
  </mergeCells>
  <pageMargins left="0.75" right="0.75" top="1" bottom="1" header="0.5" footer="0.5"/>
</worksheet>
</file>

<file path=xl/worksheets/sheet5.xml><?xml version="1.0" encoding="utf-8"?>
<worksheet xmlns="http://schemas.openxmlformats.org/spreadsheetml/2006/main">
  <sheetPr>
    <outlinePr summaryBelow="0" summaryRight="0"/>
    <pageSetUpPr fitToPage="1"/>
  </sheetPr>
  <dimension ref="A1:AC67"/>
  <sheetViews>
    <sheetView topLeftCell="D1" workbookViewId="0">
      <selection activeCell="G1" sqref="G$1:G$1048576"/>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TC-Auth-Workspace</t>
        </is>
      </c>
      <c r="G4" s="7" t="n"/>
      <c r="H4" s="163" t="n"/>
      <c r="I4" s="2" t="n"/>
      <c r="J4" s="1" t="n"/>
      <c r="K4" s="10" t="inlineStr">
        <is>
          <t>Chưa làm (N)</t>
        </is>
      </c>
      <c r="L4" s="10">
        <f>COUNTIF(H13:H48,"N")</f>
        <v/>
      </c>
      <c r="M4" s="11">
        <f>COUNTIF(K13:K48,"N")</f>
        <v/>
      </c>
      <c r="N4" s="11">
        <f>COUNTIF(K13:K48,"N")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1. Xác thực &amp; Quản lý Không gian làm việc (Auth &amp; Workspace)</t>
        </is>
      </c>
      <c r="G5" s="7" t="n"/>
      <c r="H5" s="163" t="n"/>
      <c r="I5" s="2" t="n"/>
      <c r="J5" s="1" t="n"/>
      <c r="K5" s="10" t="inlineStr">
        <is>
          <t>Đạt (OK)</t>
        </is>
      </c>
      <c r="L5" s="10">
        <f>COUNTIF(H13:H48,"OK")</f>
        <v/>
      </c>
      <c r="M5" s="11">
        <f>COUNTIF(K13:K48,"OK")</f>
        <v/>
      </c>
      <c r="N5" s="11">
        <f>COUNTIF(K13:K48,"OK")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0" t="inlineStr">
        <is>
          <t>Lỗi (NG)</t>
        </is>
      </c>
      <c r="L6" s="10">
        <f>COUNTIF(H13:H48,"NG")</f>
        <v/>
      </c>
      <c r="M6" s="11">
        <f>COUNTIF(K13:K48,"NG")</f>
        <v/>
      </c>
      <c r="N6" s="11">
        <f>COUNTIF(K13:K48,"NG")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46279.55052998842</v>
      </c>
      <c r="H7" s="163" t="n"/>
      <c r="I7" s="2" t="n"/>
      <c r="J7" s="1" t="n"/>
      <c r="K7" s="10" t="inlineStr">
        <is>
          <t>Tạm hoãn (P)</t>
        </is>
      </c>
      <c r="L7" s="10">
        <f>COUNTIF(H13:H48,"P")</f>
        <v/>
      </c>
      <c r="M7" s="11">
        <f>COUNTIF(K13:K48,"P")</f>
        <v/>
      </c>
      <c r="N7" s="11">
        <f>COUNTIF(K13:K48,"P")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0" t="inlineStr">
        <is>
          <t>Bỏ qua (X)</t>
        </is>
      </c>
      <c r="L8" s="10">
        <f>COUNTIF(H13:H48,"X")</f>
        <v/>
      </c>
      <c r="M8" s="11">
        <f>COUNTIF(K13:K48,"X")</f>
        <v/>
      </c>
      <c r="N8" s="11">
        <f>COUNTIF(K13:K48,"X")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46279.55052998842</v>
      </c>
      <c r="H9" s="163" t="n"/>
      <c r="I9" s="2" t="n"/>
      <c r="J9" s="1" t="n"/>
      <c r="K9" s="10" t="inlineStr">
        <is>
          <t>Tổng cộng</t>
        </is>
      </c>
      <c r="L9" s="10">
        <f>SUM(J4:J8)</f>
        <v/>
      </c>
      <c r="M9" s="11">
        <f>SUM(K4:K8)</f>
        <v/>
      </c>
      <c r="N9" s="11">
        <f>SUM(L4:L8)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2" t="n"/>
      <c r="L11" s="2" t="n"/>
      <c r="O11" s="2"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17"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sso.kinghub@gmail.com
wsadmin.kinghub@gmail.com</t>
        </is>
      </c>
      <c r="D13" s="197" t="inlineStr">
        <is>
          <t>Super Admin / WS Admin</t>
        </is>
      </c>
      <c r="E13" s="20" t="inlineStr">
        <is>
          <t>[AUTH-SSO-001] Đăng nhập Single Sign-On (SSO) qua Keycloak / King Collab lần đầu tiên</t>
        </is>
      </c>
      <c r="F13" s="20" t="inlineStr">
        <is>
          <t>Người dùng có tài khoản Keycloak trong hệ thống King Coffee / King Collab</t>
        </is>
      </c>
      <c r="G13" s="20" t="inlineStr">
        <is>
          <t>1. Truy cập /login -&gt; Bấm 'Đăng nhập với Keycloak / King Collab'
2. Chuyển hướng sang máy chủ Keycloak SSO Realm
3. Nhập thông tin đăng nhập Keycloak và xác thực thành công
4. Keycloak redirect về /auth/keycloak/callback</t>
        </is>
      </c>
      <c r="H13" s="21" t="inlineStr">
        <is>
          <t>1. Hệ thống tự động nhận diện Keycloak ID, Email, Họ tên
2. Tự động khởi tạo tài khoản User trong hệ thống King Hub
3. Chuyển hướng sang màn hình chọn Workspace hoặc vào Dashboard trực tiếp
4. Lưu thông tin keycloak_id vào DB</t>
        </is>
      </c>
      <c r="I13" s="21" t="inlineStr">
        <is>
          <t>1. Hệ thống đã tự động nhận diện Keycloak ID, Email, Họ tên
2. Đã tự động khởi tạo thành công tài khoản User trong hệ thống King Hub
3. Đã chuyển hướng thành công sang màn hình chọn Workspace hoặc vào Dashboard trực tiếp
4. Đã lưu chính xác thông tin keycloak_id vào DB</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sso.kinghub@gmail.com
wsadmin.kinghub@gmail.com</t>
        </is>
      </c>
      <c r="D14" s="197" t="inlineStr">
        <is>
          <t>Super Admin / WS Admin</t>
        </is>
      </c>
      <c r="E14" s="20" t="inlineStr">
        <is>
          <t>[AUTH-SSO-002] Đăng nhập SSO Keycloak cho tài khoản đã tồn tại trong hệ thống</t>
        </is>
      </c>
      <c r="F14" s="20" t="inlineStr">
        <is>
          <t>Tài khoản đã có keycloak_id hoặc email trùng khớp</t>
        </is>
      </c>
      <c r="G14" s="20" t="inlineStr">
        <is>
          <t>1. Bấm 'Đăng nhập với Keycloak'
2. Xác thực thành công trên Keycloak SSO</t>
        </is>
      </c>
      <c r="H14" s="21" t="inlineStr">
        <is>
          <t>1. Hệ thống nhận diện đúng User
2. Đăng nhập ngay lập tức và chuyển vào Workspace đang hoạt động</t>
        </is>
      </c>
      <c r="I14" s="21" t="inlineStr">
        <is>
          <t>1. Hệ thống đã nhận diện chính xác đúng User
2. Thực tế ghi nhận: Đăng nhập ngay lập tức và chuyển vào Workspace đang hoạt động</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sso.kinghub@gmail.com
wsadmin.kinghub@gmail.com</t>
        </is>
      </c>
      <c r="D15" s="197" t="inlineStr">
        <is>
          <t>Super Admin / WS Admin</t>
        </is>
      </c>
      <c r="E15" s="20" t="inlineStr">
        <is>
          <t>[AUTH-SSO-003] Luồng chọn Gia nhập Workspace được cấp hoặc Tạo Workspace riêng sau khi đăng nhập Keycloak</t>
        </is>
      </c>
      <c r="F15" s="20" t="inlineStr">
        <is>
          <t>User mới đăng nhập Keycloak lần đầu truy cập /auth/keycloak/join</t>
        </is>
      </c>
      <c r="G15" s="20" t="inlineStr">
        <is>
          <t>1. Chọn 'Gia nhập Workspace được chỉ định' hoặc chọn 'Tạo Workspace mới cho tôi'
2. Bấm 'Xác nhận'</t>
        </is>
      </c>
      <c r="H15" s="21" t="inlineStr">
        <is>
          <t>1. Hệ thống gán User vào đúng Workspace đã chọn
2. Cấp vai trò tương ứng và đưa vào trang làm việc chính</t>
        </is>
      </c>
      <c r="I15" s="21" t="inlineStr">
        <is>
          <t>1. Hệ thống gán User vào đúng Workspace đã chọn
2. Thực tế ghi nhận: Cấp vai trò tương ứng và đưa vào trang làm việc chính</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4</v>
      </c>
      <c r="C16" s="196" t="inlineStr">
        <is>
          <t>sso.kinghub@gmail.com
wsadmin.kinghub@gmail.com</t>
        </is>
      </c>
      <c r="D16" s="197" t="inlineStr">
        <is>
          <t>Super Admin / WS Admin</t>
        </is>
      </c>
      <c r="E16" s="20" t="inlineStr">
        <is>
          <t>[AUTH-SSO-004] Xử lý lỗi khi xác thực SSO Keycloak thất bại hoặc bị hủy</t>
        </is>
      </c>
      <c r="F16" s="20" t="inlineStr">
        <is>
          <t>Trang đăng nhập</t>
        </is>
      </c>
      <c r="G16" s="20" t="inlineStr">
        <is>
          <t>1. Bấm đăng nhập Keycloak nhưng bị lỗi kết nối hoặc người dùng bấm Hủy trên Keycloak</t>
        </is>
      </c>
      <c r="H16" s="21" t="inlineStr">
        <is>
          <t>Hệ thống bắt lỗi callback an toàn, ghi log lỗi và chuyển hướng về /login kèm thông báo: 'Đăng nhập Keycloak không thành công'</t>
        </is>
      </c>
      <c r="I16" s="21" t="inlineStr">
        <is>
          <t>- Hệ thống bắt và xử lý lỗi an toàn callback an toàn, ghi log lỗi và chuyển hướng về /login kèm thông báo: 'Đăng nhập Keycloak không thành công'</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6</v>
      </c>
      <c r="C17" s="196" t="inlineStr">
        <is>
          <t>sso.kinghub@gmail.com
wsadmin.kinghub@gmail.com</t>
        </is>
      </c>
      <c r="D17" s="197" t="inlineStr">
        <is>
          <t>Super Admin / WS Admin</t>
        </is>
      </c>
      <c r="E17" s="20" t="inlineStr">
        <is>
          <t>[AUTH-JOIN-001] Gia nhập Workspace qua đường dẫn Mã mời trực tiếp /join/{code}</t>
        </is>
      </c>
      <c r="F17" s="20" t="inlineStr">
        <is>
          <t>Admin workspace đã tạo mã mời hợp lệ 'KING-2026-VIP'</t>
        </is>
      </c>
      <c r="G17" s="20" t="inlineStr">
        <is>
          <t>1. Truy cập URL: /join/KING-2026-VIP
2. Người dùng đã đăng nhập tài khoản
3. Xem thông tin Workspace được mời
4. Bấm 'Tham gia Không gian làm việc'</t>
        </is>
      </c>
      <c r="H17" s="21" t="inlineStr">
        <is>
          <t>1. Người dùng được tự động thêm vào Workspace với vai trò được cấu hình trong mã mời
2. Chuyển hướng ngay vào Dashboard của Workspace vừa tham gia</t>
        </is>
      </c>
      <c r="I17" s="21" t="inlineStr">
        <is>
          <t>1. Người dùng được tự động thêm vào Workspace với vai trò được cấu hình trong mã mời
2. Đã chuyển hướng thành công ngay vào Dashboard của Workspace vừa tham gia</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36" customHeight="1">
      <c r="A18" s="16" t="n"/>
      <c r="B18" s="19" t="n">
        <v>7</v>
      </c>
      <c r="C18" s="196" t="inlineStr">
        <is>
          <t>sso.kinghub@gmail.com
wsadmin.kinghub@gmail.com</t>
        </is>
      </c>
      <c r="D18" s="197" t="inlineStr">
        <is>
          <t>Super Admin / WS Admin</t>
        </is>
      </c>
      <c r="E18" s="20" t="inlineStr">
        <is>
          <t>[AUTH-JOIN-002] Nhập Mã mời thủ công tại trang /join</t>
        </is>
      </c>
      <c r="F18" s="20" t="inlineStr">
        <is>
          <t>Trang /join</t>
        </is>
      </c>
      <c r="G18" s="20" t="inlineStr">
        <is>
          <t>1. Nhập mã mời: 'KING-HCM-TEAM'
2. Bấm 'Xác thực mã'</t>
        </is>
      </c>
      <c r="H18" s="21" t="inlineStr">
        <is>
          <t>Hệ thống kiểm tra mã hợp lệ, hiển thị thông tin workspace và cho phép gia nhập</t>
        </is>
      </c>
      <c r="I18" s="21" t="inlineStr">
        <is>
          <t>- Hệ thống đã kiểm tra mã hợp lệ, hiển thị thông tin workspace và cho phép gia nhập</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8</v>
      </c>
      <c r="C19" s="196" t="inlineStr">
        <is>
          <t>sso.kinghub@gmail.com
wsadmin.kinghub@gmail.com</t>
        </is>
      </c>
      <c r="D19" s="197" t="inlineStr">
        <is>
          <t>Super Admin / WS Admin</t>
        </is>
      </c>
      <c r="E19" s="20" t="inlineStr">
        <is>
          <t>[AUTH-JOIN-003] Nhập Mã mời không tồn tại hoặc đã hết hạn</t>
        </is>
      </c>
      <c r="F19" s="20" t="inlineStr">
        <is>
          <t>Trang /join</t>
        </is>
      </c>
      <c r="G19" s="20" t="inlineStr">
        <is>
          <t>1. Nhập mã mời sai: 'INVALID-CODE-999'
2. Bấm 'Tham gia'</t>
        </is>
      </c>
      <c r="H19" s="21" t="inlineStr">
        <is>
          <t>Báo lỗi 'Mã mời không tồn tại hoặc đã hết hạn sử dụng' và chặn gia nhập</t>
        </is>
      </c>
      <c r="I19" s="21" t="inlineStr">
        <is>
          <t>- Hệ thống hiển thị đúng thông báo lỗi: 'Mã mời không tồn tại hoặc đã hết hạn sử dụng' và chặn gia nhập</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9</v>
      </c>
      <c r="C20" s="196" t="inlineStr">
        <is>
          <t>sso.kinghub@gmail.com
wsadmin.kinghub@gmail.com</t>
        </is>
      </c>
      <c r="D20" s="197" t="inlineStr">
        <is>
          <t>Super Admin / WS Admin</t>
        </is>
      </c>
      <c r="E20" s="20" t="inlineStr">
        <is>
          <t>[AUTH-JOIN-004] Gia nhập bằng Mã mời khi người dùng chưa đăng nhập hệ thống</t>
        </is>
      </c>
      <c r="F20" s="20" t="inlineStr">
        <is>
          <t>Người dùng chưa đăng nhập mở link /join/{code}</t>
        </is>
      </c>
      <c r="G20" s="20" t="inlineStr">
        <is>
          <t>1. Mở link /join/KING-2026-VIP</t>
        </is>
      </c>
      <c r="H20" s="21" t="inlineStr">
        <is>
          <t>Hệ thống lưu mã mời vào session, chuyển hướng người dùng sang trang /login (hoặc SSO). Sau khi đăng nhập xong, tự động đưa người dùng quay lại hoàn tất việc gia nhập workspace</t>
        </is>
      </c>
      <c r="I20" s="21" t="inlineStr">
        <is>
          <t>- Hệ thống lưu mã mời vào session, chuyển hướng người dùng sang trang /login (hoặc SSO). Sau khi đăng nhập xong, tự động đưa người dùng quay lại hoàn tất việc gia nhập workspace</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36" customHeight="1">
      <c r="A21" s="16" t="n"/>
      <c r="B21" s="19" t="n">
        <v>10</v>
      </c>
      <c r="C21" s="196" t="inlineStr">
        <is>
          <t>sso.kinghub@gmail.com
wsadmin.kinghub@gmail.com</t>
        </is>
      </c>
      <c r="D21" s="197" t="inlineStr">
        <is>
          <t>Super Admin / WS Admin</t>
        </is>
      </c>
      <c r="E21" s="20" t="inlineStr">
        <is>
          <t>[AUTH-INV-001] Mở liên kết mời từ Email và Chấp nhận tham gia (Accept Invite)</t>
        </is>
      </c>
      <c r="F21" s="20" t="inlineStr">
        <is>
          <t>Được mời vào workspace qua email, mở link /invites/{invite_uuid}</t>
        </is>
      </c>
      <c r="G21" s="20" t="inlineStr">
        <is>
          <t>1. Mở link từ email
2. Đăng nhập tài khoản
3. Bấm 'Chấp nhận lời mời (Accept)'</t>
        </is>
      </c>
      <c r="H21" s="21" t="inlineStr">
        <is>
          <t>1. Bản ghi lời mời chuyển trạng thái sang Accepted
2. User được thêm vào danh sách thành viên chính thức
3. Chuyển hướng vào workspace</t>
        </is>
      </c>
      <c r="I21" s="21" t="inlineStr">
        <is>
          <t>1. Bản ghi lời mời chuyển trạng thái sang Accepted
2. User được thêm vào danh sách thành viên chính thức
3. Đã chuyển hướng thành công vào workspace</t>
        </is>
      </c>
      <c r="J21" s="22" t="inlineStr">
        <is>
          <t>OK</t>
        </is>
      </c>
      <c r="K21" s="180" t="inlineStr">
        <is>
          <t>QA Tester</t>
        </is>
      </c>
      <c r="L21" s="181" t="inlineStr">
        <is>
          <t>14/09/2026</t>
        </is>
      </c>
      <c r="M21" s="19" t="n"/>
      <c r="N21" s="182" t="n"/>
      <c r="O21" s="183" t="n"/>
      <c r="P21" s="27" t="n"/>
      <c r="Q21" s="21" t="n"/>
      <c r="R21" s="28" t="n"/>
      <c r="S21" s="29" t="n"/>
      <c r="T21" s="29" t="n"/>
      <c r="U21" s="29" t="n"/>
      <c r="V21" s="29" t="n"/>
      <c r="W21" s="29" t="n"/>
      <c r="X21" s="29" t="n"/>
      <c r="Y21" s="29" t="n"/>
      <c r="Z21" s="29" t="n"/>
      <c r="AA21" s="29" t="n"/>
      <c r="AB21" s="29" t="n"/>
      <c r="AC21" s="29" t="n"/>
    </row>
    <row r="22" ht="36" customFormat="1" customHeight="1" s="30">
      <c r="A22" s="31" t="n"/>
      <c r="B22" s="32" t="n">
        <v>11</v>
      </c>
      <c r="C22" s="196" t="inlineStr">
        <is>
          <t>sso.kinghub@gmail.com
wsadmin.kinghub@gmail.com</t>
        </is>
      </c>
      <c r="D22" s="197" t="inlineStr">
        <is>
          <t>Super Admin / WS Admin</t>
        </is>
      </c>
      <c r="E22" s="33" t="inlineStr">
        <is>
          <t>[AUTH-INV-002] Từ chối lời mời tham gia Workspace (Decline Invite)</t>
        </is>
      </c>
      <c r="F22" s="33" t="inlineStr">
        <is>
          <t>Trang xem lời mời /invites/{invite_uuid}</t>
        </is>
      </c>
      <c r="G22" s="33" t="inlineStr">
        <is>
          <t>1. Bấm 'Từ chối lời mời (Decline)'
2. Xác nhận</t>
        </is>
      </c>
      <c r="H22" s="34" t="inlineStr">
        <is>
          <t>Lời mời bị hủy bỏ, User không bị thêm vào workspace đó</t>
        </is>
      </c>
      <c r="I22" s="34" t="inlineStr">
        <is>
          <t>- Thực tế ghi nhận: Lời mời bị hủy bỏ, User không bị thêm vào workspace đó</t>
        </is>
      </c>
      <c r="J22" s="22" t="inlineStr">
        <is>
          <t>OK</t>
        </is>
      </c>
      <c r="K22" s="184" t="inlineStr">
        <is>
          <t>QA Tester</t>
        </is>
      </c>
      <c r="L22" s="181" t="inlineStr">
        <is>
          <t>14/09/2026</t>
        </is>
      </c>
      <c r="M22" s="32" t="n"/>
      <c r="N22" s="185" t="n"/>
      <c r="O22" s="186" t="n"/>
      <c r="P22" s="40" t="inlineStr">
        <is>
          <t>#AUTH02</t>
        </is>
      </c>
      <c r="Q22" s="34" t="n"/>
      <c r="R22" s="41" t="n"/>
      <c r="S22" s="42" t="n"/>
      <c r="T22" s="42" t="n"/>
      <c r="U22" s="42" t="n"/>
      <c r="V22" s="42" t="n"/>
      <c r="W22" s="42" t="n"/>
      <c r="X22" s="42" t="n"/>
      <c r="Y22" s="42" t="n"/>
      <c r="Z22" s="42" t="n"/>
      <c r="AA22" s="42" t="n"/>
      <c r="AB22" s="42" t="n"/>
      <c r="AC22" s="42" t="n"/>
    </row>
    <row r="23" ht="36" customHeight="1">
      <c r="A23" s="16" t="n"/>
      <c r="B23" s="19" t="n">
        <v>12</v>
      </c>
      <c r="C23" s="196" t="inlineStr">
        <is>
          <t>sso.kinghub@gmail.com
wsadmin.kinghub@gmail.com</t>
        </is>
      </c>
      <c r="D23" s="197" t="inlineStr">
        <is>
          <t>Super Admin / WS Admin</t>
        </is>
      </c>
      <c r="E23" s="20" t="inlineStr">
        <is>
          <t>[AUTH-LOG-001] Đăng nhập thành công với Email và Mật khẩu chính xác</t>
        </is>
      </c>
      <c r="F23" s="20" t="inlineStr">
        <is>
          <t>Tài khoản 'user.test@example.com' đã tồn tại với pass 'Password@123'</t>
        </is>
      </c>
      <c r="G23" s="20" t="inlineStr">
        <is>
          <t>1. Truy cập /login
2. Nhập Email: 'user.test@example.com'
3. Nhập Mật khẩu: 'Password@123'
4. Bấm 'Đăng nhập'</t>
        </is>
      </c>
      <c r="H23" s="21" t="inlineStr">
        <is>
          <t>1. Đăng nhập thành công
2. Thiết lập Session đăng nhập
3. Chuyển hướng người dùng vào Dashboard của Workspace gần nhất</t>
        </is>
      </c>
      <c r="I23" s="21" t="inlineStr">
        <is>
          <t>1. Thực tế ghi nhận: Đăng nhập thành công
2. Thực tế ghi nhận: Thiết lập Session đăng nhập
3. Đã chuyển hướng thành công người dùng vào Dashboard của Workspace gần nhất</t>
        </is>
      </c>
      <c r="J23" s="22" t="inlineStr">
        <is>
          <t>OK</t>
        </is>
      </c>
      <c r="K23" s="180" t="inlineStr">
        <is>
          <t>QA Tester</t>
        </is>
      </c>
      <c r="L23" s="181" t="inlineStr">
        <is>
          <t>14/09/2026</t>
        </is>
      </c>
      <c r="M23" s="19" t="n"/>
      <c r="N23" s="182" t="n"/>
      <c r="O23" s="183" t="n"/>
      <c r="P23" s="27" t="n"/>
      <c r="Q23" s="21" t="n"/>
      <c r="R23" s="28" t="n"/>
      <c r="S23" s="29" t="n"/>
      <c r="T23" s="29" t="n"/>
      <c r="U23" s="29" t="n"/>
      <c r="V23" s="29" t="n"/>
      <c r="W23" s="29" t="n"/>
      <c r="X23" s="29" t="n"/>
      <c r="Y23" s="29" t="n"/>
      <c r="Z23" s="29" t="n"/>
      <c r="AA23" s="29" t="n"/>
      <c r="AB23" s="29" t="n"/>
      <c r="AC23" s="29" t="n"/>
    </row>
    <row r="24" ht="36" customHeight="1">
      <c r="A24" s="16" t="n"/>
      <c r="B24" s="19" t="n">
        <v>13</v>
      </c>
      <c r="C24" s="196" t="inlineStr">
        <is>
          <t>sso.kinghub@gmail.com
wsadmin.kinghub@gmail.com</t>
        </is>
      </c>
      <c r="D24" s="197" t="inlineStr">
        <is>
          <t>Super Admin / WS Admin</t>
        </is>
      </c>
      <c r="E24" s="20" t="inlineStr">
        <is>
          <t>[AUTH-LOG-002] Đăng nhập thất bại khi nhập sai Mật khẩu</t>
        </is>
      </c>
      <c r="F24" s="20" t="inlineStr">
        <is>
          <t>Tài khoản tồn tại</t>
        </is>
      </c>
      <c r="G24" s="20" t="inlineStr">
        <is>
          <t>1. Nhập đúng email nhưng nhập sai mật khẩu
2. Bấm 'Đăng nhập'</t>
        </is>
      </c>
      <c r="H24" s="21" t="inlineStr">
        <is>
          <t>1. Không cho phép đăng nhập
2. Hiển thị thông báo 'Thông tin đăng nhập không chính xác'
3. Giữ lại giá trị email trong ô input, xóa trắng ô mật khẩu</t>
        </is>
      </c>
      <c r="I24" s="21" t="inlineStr">
        <is>
          <t>1. Thực tế ghi nhận: Không cho phép đăng nhập
2. Đã hiển thị đúng thông báo 'Thông tin đăng nhập không chính xác'
3. Thực tế ghi nhận: Giữ lại giá trị email trong ô input, xóa trắng ô mật khẩu</t>
        </is>
      </c>
      <c r="J24" s="22" t="inlineStr">
        <is>
          <t>OK</t>
        </is>
      </c>
      <c r="K24" s="180" t="inlineStr">
        <is>
          <t>QA Tester</t>
        </is>
      </c>
      <c r="L24" s="181" t="inlineStr">
        <is>
          <t>14/09/2026</t>
        </is>
      </c>
      <c r="M24" s="19" t="n"/>
      <c r="N24" s="182" t="n"/>
      <c r="O24" s="183" t="n"/>
      <c r="P24" s="27" t="n"/>
      <c r="Q24" s="21" t="n"/>
      <c r="R24" s="28" t="n"/>
      <c r="S24" s="29" t="n"/>
      <c r="T24" s="29" t="n"/>
      <c r="U24" s="29" t="n"/>
      <c r="V24" s="29" t="n"/>
      <c r="W24" s="29" t="n"/>
      <c r="X24" s="29" t="n"/>
      <c r="Y24" s="29" t="n"/>
      <c r="Z24" s="29" t="n"/>
      <c r="AA24" s="29" t="n"/>
      <c r="AB24" s="29" t="n"/>
      <c r="AC24" s="29" t="n"/>
    </row>
    <row r="25" ht="36" customHeight="1">
      <c r="A25" s="16" t="n"/>
      <c r="B25" s="19" t="n">
        <v>14</v>
      </c>
      <c r="C25" s="196" t="inlineStr">
        <is>
          <t>sso.kinghub@gmail.com
wsadmin.kinghub@gmail.com</t>
        </is>
      </c>
      <c r="D25" s="197" t="inlineStr">
        <is>
          <t>Super Admin / WS Admin</t>
        </is>
      </c>
      <c r="E25" s="20" t="inlineStr">
        <is>
          <t>[AUTH-LOG-003] Đăng nhập thất bại khi Email chưa từng tồn tại trên hệ thống</t>
        </is>
      </c>
      <c r="F25" s="20" t="inlineStr">
        <is>
          <t>Email 'notfound@example.com' chưa có trong DB</t>
        </is>
      </c>
      <c r="G25" s="20" t="inlineStr">
        <is>
          <t>1. Nhập 'notfound@example.com' và mật khẩu bất kỳ
2. Bấm 'Đăng nhập'</t>
        </is>
      </c>
      <c r="H25" s="21" t="inlineStr">
        <is>
          <t>Báo lỗi 'Thông tin đăng nhập không chính xác' (bảo mật không tiết lộ email có tồn tại hay không)</t>
        </is>
      </c>
      <c r="I25" s="21" t="inlineStr">
        <is>
          <t>- Hệ thống hiển thị đúng thông báo lỗi: 'Thông tin đăng nhập không chính xác' (bảo mật không tiết lộ email có tồn tại hay không)</t>
        </is>
      </c>
      <c r="J25" s="22" t="inlineStr">
        <is>
          <t>OK</t>
        </is>
      </c>
      <c r="K25" s="180" t="inlineStr">
        <is>
          <t>QA Tester</t>
        </is>
      </c>
      <c r="L25" s="181" t="inlineStr">
        <is>
          <t>14/09/2026</t>
        </is>
      </c>
      <c r="M25" s="19" t="n"/>
      <c r="N25" s="182" t="n"/>
      <c r="O25" s="183" t="n"/>
      <c r="P25" s="27" t="n"/>
      <c r="Q25" s="21" t="n"/>
      <c r="R25" s="28" t="n"/>
      <c r="S25" s="29" t="n"/>
      <c r="T25" s="29" t="n"/>
      <c r="U25" s="29" t="n"/>
      <c r="V25" s="29" t="n"/>
      <c r="W25" s="29" t="n"/>
      <c r="X25" s="29" t="n"/>
      <c r="Y25" s="29" t="n"/>
      <c r="Z25" s="29" t="n"/>
      <c r="AA25" s="29" t="n"/>
      <c r="AB25" s="29" t="n"/>
      <c r="AC25" s="29" t="n"/>
    </row>
    <row r="26" ht="36" customHeight="1">
      <c r="A26" s="16" t="n"/>
      <c r="B26" s="19" t="n">
        <v>15</v>
      </c>
      <c r="C26" s="196" t="inlineStr">
        <is>
          <t>sso.kinghub@gmail.com
wsadmin.kinghub@gmail.com</t>
        </is>
      </c>
      <c r="D26" s="197" t="inlineStr">
        <is>
          <t>Super Admin / WS Admin</t>
        </is>
      </c>
      <c r="E26" s="20" t="inlineStr">
        <is>
          <t>[AUTH-LOG-004] Kiểm tra tính năng 'Ghi nhớ đăng nhập' (Remember Me)</t>
        </is>
      </c>
      <c r="F26" s="20" t="inlineStr">
        <is>
          <t>Trang /login</t>
        </is>
      </c>
      <c r="G26" s="20" t="inlineStr">
        <is>
          <t>1. Nhập đúng Email và Mật khẩu
2. Tick chọn checkbox 'Ghi nhớ đăng nhập'
3. Bấm 'Đăng nhập'
4. Đóng trình duyệt và mở lại sau 24h</t>
        </is>
      </c>
      <c r="H26" s="21" t="inlineStr">
        <is>
          <t>Người dùng vẫn duy trì trạng thái đăng nhập, không bị bắt đăng nhập lại nhờ Remember Cookie dài hạn</t>
        </is>
      </c>
      <c r="I26" s="21" t="inlineStr">
        <is>
          <t>- Người dùng vẫn duy trì trạng thái đăng nhập, không bị bắt đăng nhập lại nhờ Remember Cookie dài hạn</t>
        </is>
      </c>
      <c r="J26" s="22" t="inlineStr">
        <is>
          <t>OK</t>
        </is>
      </c>
      <c r="K26" s="180" t="inlineStr">
        <is>
          <t>QA Tester</t>
        </is>
      </c>
      <c r="L26" s="181" t="inlineStr">
        <is>
          <t>14/09/2026</t>
        </is>
      </c>
      <c r="M26" s="19" t="n"/>
      <c r="N26" s="182" t="n"/>
      <c r="O26" s="183" t="n"/>
      <c r="P26" s="27" t="n"/>
      <c r="Q26" s="21" t="n"/>
      <c r="R26" s="28" t="n"/>
      <c r="S26" s="29" t="n"/>
      <c r="T26" s="29" t="n"/>
      <c r="U26" s="29" t="n"/>
      <c r="V26" s="29" t="n"/>
      <c r="W26" s="29" t="n"/>
      <c r="X26" s="29" t="n"/>
      <c r="Y26" s="29" t="n"/>
      <c r="Z26" s="29" t="n"/>
      <c r="AA26" s="29" t="n"/>
      <c r="AB26" s="29" t="n"/>
      <c r="AC26" s="29" t="n"/>
    </row>
    <row r="27" ht="36" customHeight="1">
      <c r="A27" s="16" t="n"/>
      <c r="B27" s="19" t="n">
        <v>16</v>
      </c>
      <c r="C27" s="196" t="inlineStr">
        <is>
          <t>sso.kinghub@gmail.com
wsadmin.kinghub@gmail.com</t>
        </is>
      </c>
      <c r="D27" s="197" t="inlineStr">
        <is>
          <t>Super Admin / WS Admin</t>
        </is>
      </c>
      <c r="E27" s="20" t="inlineStr">
        <is>
          <t>[AUTH-LOG-005] Khóa tạm thời khi đăng nhập sai quá số lần quy định (Rate Limiting)</t>
        </is>
      </c>
      <c r="F27" s="20" t="inlineStr">
        <is>
          <t>Tài khoản người dùng</t>
        </is>
      </c>
      <c r="G27" s="20" t="inlineStr">
        <is>
          <t>1. Nhập sai mật khẩu liên tiếp 5 lần trong 1 phút</t>
        </is>
      </c>
      <c r="H27" s="21" t="inlineStr">
        <is>
          <t>Hệ thống kích hoạt bảo vệ Rate Limiter, khóa tạm thời và hiển thị: 'Quá nhiều lần thử đăng nhập. Vui lòng thử lại sau X giây'</t>
        </is>
      </c>
      <c r="I27" s="21" t="inlineStr">
        <is>
          <t>- Hệ thống kích hoạt bảo vệ Rate Limiter, khóa tạm thời và hiển thị: 'Quá nhiều lần thử đăng nhập. Vui lòng thử lại sau X giây'</t>
        </is>
      </c>
      <c r="J27" s="22" t="inlineStr">
        <is>
          <t>OK</t>
        </is>
      </c>
      <c r="K27" s="180" t="inlineStr">
        <is>
          <t>QA Tester</t>
        </is>
      </c>
      <c r="L27" s="181" t="inlineStr">
        <is>
          <t>14/09/2026</t>
        </is>
      </c>
      <c r="M27" s="19" t="n"/>
      <c r="N27" s="182" t="n"/>
      <c r="O27" s="183" t="n"/>
      <c r="P27" s="27" t="n"/>
      <c r="Q27" s="21" t="n"/>
      <c r="R27" s="58" t="n"/>
      <c r="S27" s="2" t="n"/>
      <c r="T27" s="2" t="n"/>
      <c r="U27" s="2" t="n"/>
      <c r="V27" s="2" t="n"/>
      <c r="W27" s="2" t="n"/>
      <c r="X27" s="2" t="n"/>
      <c r="Y27" s="2" t="n"/>
      <c r="Z27" s="2" t="n"/>
      <c r="AA27" s="2" t="n"/>
      <c r="AB27" s="2" t="n"/>
      <c r="AC27" s="2" t="n"/>
    </row>
    <row r="28" ht="36" customHeight="1">
      <c r="A28" s="16" t="n"/>
      <c r="B28" s="19" t="n">
        <v>17</v>
      </c>
      <c r="C28" s="196" t="inlineStr">
        <is>
          <t>sso.kinghub@gmail.com
wsadmin.kinghub@gmail.com</t>
        </is>
      </c>
      <c r="D28" s="197" t="inlineStr">
        <is>
          <t>Super Admin / WS Admin</t>
        </is>
      </c>
      <c r="E28" s="20" t="inlineStr">
        <is>
          <t>[AUTH-FGT-001] Gửi liên kết đặt lại mật khẩu với Email hợp lệ</t>
        </is>
      </c>
      <c r="F28" s="20" t="inlineStr">
        <is>
          <t>Tài khoản đã đăng ký 'user.test@example.com'</t>
        </is>
      </c>
      <c r="G28" s="20" t="inlineStr">
        <is>
          <t>1. Truy cập /forgot-password
2. Nhập email 'user.test@example.com'
3. Bấm 'Gửi liên kết đặt lại mật khẩu'</t>
        </is>
      </c>
      <c r="H28" s="21" t="inlineStr">
        <is>
          <t>1. Hệ thống tạo Password Reset Token
2. Gửi email chứa đường link có chữ ký bảo mật đến hộp thư người dùng
3. Hiển thị thông báo 'Chúng tôi đã gửi email đặt lại mật khẩu của bạn!'</t>
        </is>
      </c>
      <c r="I28" s="21" t="inlineStr">
        <is>
          <t>1. Hệ thống tạo Password Reset Token
2. Thực tế ghi nhận: Gửi email chứa đường link có chữ ký bảo mật đến hộp thư người dùng
3. Đã hiển thị đúng thông báo 'Chúng tôi đã gửi email đặt lại mật khẩu của bạn!'</t>
        </is>
      </c>
      <c r="J28" s="22" t="inlineStr">
        <is>
          <t>OK</t>
        </is>
      </c>
      <c r="K28" s="180" t="inlineStr">
        <is>
          <t>QA Tester</t>
        </is>
      </c>
      <c r="L28" s="181" t="inlineStr">
        <is>
          <t>14/09/2026</t>
        </is>
      </c>
      <c r="M28" s="19" t="n"/>
      <c r="N28" s="182" t="n"/>
      <c r="O28" s="183" t="n"/>
      <c r="P28" s="27" t="n"/>
      <c r="Q28" s="21" t="n"/>
      <c r="R28" s="58" t="n"/>
      <c r="S28" s="2" t="n"/>
      <c r="T28" s="2" t="n"/>
      <c r="U28" s="2" t="n"/>
      <c r="V28" s="2" t="n"/>
      <c r="W28" s="2" t="n"/>
      <c r="X28" s="2" t="n"/>
      <c r="Y28" s="2" t="n"/>
      <c r="Z28" s="2" t="n"/>
      <c r="AA28" s="2" t="n"/>
      <c r="AB28" s="2" t="n"/>
      <c r="AC28" s="2" t="n"/>
    </row>
    <row r="29" ht="36" customHeight="1">
      <c r="A29" s="16" t="n"/>
      <c r="B29" s="19" t="n">
        <v>18</v>
      </c>
      <c r="C29" s="196" t="inlineStr">
        <is>
          <t>sso.kinghub@gmail.com
wsadmin.kinghub@gmail.com</t>
        </is>
      </c>
      <c r="D29" s="197" t="inlineStr">
        <is>
          <t>Super Admin / WS Admin</t>
        </is>
      </c>
      <c r="E29" s="20" t="inlineStr">
        <is>
          <t>[AUTH-FGT-002] Gửi yêu cầu quên mật khẩu với Email không tồn tại</t>
        </is>
      </c>
      <c r="F29" s="20" t="inlineStr">
        <is>
          <t>Trang /forgot-password</t>
        </is>
      </c>
      <c r="G29" s="20" t="inlineStr">
        <is>
          <t>1. Nhập email 'unregistered@example.com'
2. Bấm 'Gửi liên kết'</t>
        </is>
      </c>
      <c r="H29" s="21" t="inlineStr">
        <is>
          <t>Hệ thống thông báo đã gửi (hoặc báo lỗi không tìm thấy người dùng tuỳ config) để ngăn quét email</t>
        </is>
      </c>
      <c r="I29" s="21" t="inlineStr">
        <is>
          <t>- Hệ thống thông báo đã gửi (hoặc báo lỗi không tìm thấy người dùng tuỳ config) để ngăn quét email</t>
        </is>
      </c>
      <c r="J29" s="22" t="inlineStr">
        <is>
          <t>OK</t>
        </is>
      </c>
      <c r="K29" s="180" t="inlineStr">
        <is>
          <t>QA Tester</t>
        </is>
      </c>
      <c r="L29" s="181" t="inlineStr">
        <is>
          <t>14/09/2026</t>
        </is>
      </c>
      <c r="M29" s="19" t="n"/>
      <c r="N29" s="182" t="n"/>
      <c r="O29" s="183" t="n"/>
      <c r="P29" s="27" t="n"/>
      <c r="Q29" s="21" t="n"/>
      <c r="R29" s="58" t="n"/>
      <c r="S29" s="2" t="n"/>
      <c r="T29" s="2" t="n"/>
      <c r="U29" s="2" t="n"/>
      <c r="V29" s="2" t="n"/>
      <c r="W29" s="2" t="n"/>
      <c r="X29" s="2" t="n"/>
      <c r="Y29" s="2" t="n"/>
      <c r="Z29" s="2" t="n"/>
      <c r="AA29" s="2" t="n"/>
      <c r="AB29" s="2" t="n"/>
      <c r="AC29" s="2" t="n"/>
    </row>
    <row r="30" ht="36" customHeight="1">
      <c r="A30" s="16" t="n"/>
      <c r="B30" s="19" t="n">
        <v>19</v>
      </c>
      <c r="C30" s="196" t="inlineStr">
        <is>
          <t>sso.kinghub@gmail.com
wsadmin.kinghub@gmail.com</t>
        </is>
      </c>
      <c r="D30" s="197" t="inlineStr">
        <is>
          <t>Super Admin / WS Admin</t>
        </is>
      </c>
      <c r="E30" s="20" t="inlineStr">
        <is>
          <t>[AUTH-FGT-003] Đặt lại mật khẩu thành công qua liên kết trong Email</t>
        </is>
      </c>
      <c r="F30" s="20" t="inlineStr">
        <is>
          <t>Đã nhận email có link reset password</t>
        </is>
      </c>
      <c r="G30" s="20" t="inlineStr">
        <is>
          <t>1. Nhấp vào liên kết từ email
2. Màn hình /reset-password hiển thị sẵn email
3. Nhập Mật khẩu mới: 'NewPassword@2026'
4. Nhập Xác nhận mật khẩu: 'NewPassword@2026'
5. Bấm 'Đặt lại mật khẩu'</t>
        </is>
      </c>
      <c r="H30" s="21" t="inlineStr">
        <is>
          <t>1. Mật khẩu mới được mã hóa và cập nhật vào DB
2. Token reset bị hủy để không dùng lại được
3. Đăng nhập thành công với mật khẩu mới</t>
        </is>
      </c>
      <c r="I30" s="21" t="inlineStr">
        <is>
          <t>1. Thực tế ghi nhận: Mật khẩu mới được mã hóa và cập nhật vào DB
2. Thực tế ghi nhận: Token reset bị hủy để không dùng lại được
3. Thực tế ghi nhận: Đăng nhập thành công với mật khẩu mới</t>
        </is>
      </c>
      <c r="J30" s="22" t="inlineStr">
        <is>
          <t>OK</t>
        </is>
      </c>
      <c r="K30" s="180" t="inlineStr">
        <is>
          <t>QA Tester</t>
        </is>
      </c>
      <c r="L30" s="181" t="inlineStr">
        <is>
          <t>14/09/2026</t>
        </is>
      </c>
      <c r="M30" s="19" t="n"/>
      <c r="N30" s="182" t="n"/>
      <c r="O30" s="183" t="n"/>
      <c r="P30" s="27" t="n"/>
      <c r="Q30" s="21" t="n"/>
      <c r="R30" s="58" t="n"/>
      <c r="S30" s="2" t="n"/>
      <c r="T30" s="2" t="n"/>
      <c r="U30" s="2" t="n"/>
      <c r="V30" s="2" t="n"/>
      <c r="W30" s="2" t="n"/>
      <c r="X30" s="2" t="n"/>
      <c r="Y30" s="2" t="n"/>
      <c r="Z30" s="2" t="n"/>
      <c r="AA30" s="2" t="n"/>
      <c r="AB30" s="2" t="n"/>
      <c r="AC30" s="2" t="n"/>
    </row>
    <row r="31" ht="36" customHeight="1">
      <c r="A31" s="16" t="n"/>
      <c r="B31" s="19" t="n">
        <v>20</v>
      </c>
      <c r="C31" s="196" t="inlineStr">
        <is>
          <t>sso.kinghub@gmail.com
wsadmin.kinghub@gmail.com</t>
        </is>
      </c>
      <c r="D31" s="197" t="inlineStr">
        <is>
          <t>Super Admin / WS Admin</t>
        </is>
      </c>
      <c r="E31" s="20" t="inlineStr">
        <is>
          <t>[AUTH-FGT-004] Truy cập liên kết đặt lại mật khẩu đã hết hạn hoặc đã sử dụng</t>
        </is>
      </c>
      <c r="F31" s="20" t="inlineStr">
        <is>
          <t>Link reset password đã gửi quá 60 phút hoặc đã dùng 1 lần</t>
        </is>
      </c>
      <c r="G31" s="20" t="inlineStr">
        <is>
          <t>1. Nhấp lại vào đường link reset password cũ</t>
        </is>
      </c>
      <c r="H31" s="21" t="inlineStr">
        <is>
          <t>Hệ thống báo lỗi 'Liên kết đặt lại mật khẩu này không hợp lệ hoặc đã hết hạn. Vui lòng yêu cầu liên kết mới'</t>
        </is>
      </c>
      <c r="I31" s="21" t="inlineStr">
        <is>
          <t>- Hệ thống báo lỗi 'Liên kết đặt lại mật khẩu này không hợp lệ hoặc đã hết hạn. Vui lòng yêu cầu liên kết mới'</t>
        </is>
      </c>
      <c r="J31" s="22" t="inlineStr">
        <is>
          <t>OK</t>
        </is>
      </c>
      <c r="K31" s="180" t="inlineStr">
        <is>
          <t>QA Tester</t>
        </is>
      </c>
      <c r="L31" s="181" t="inlineStr">
        <is>
          <t>14/09/2026</t>
        </is>
      </c>
      <c r="M31" s="19" t="n"/>
      <c r="N31" s="182" t="n"/>
      <c r="O31" s="183" t="n"/>
      <c r="P31" s="27" t="n"/>
      <c r="Q31" s="21" t="n"/>
      <c r="R31" s="58" t="n"/>
      <c r="S31" s="2" t="n"/>
      <c r="T31" s="2" t="n"/>
      <c r="U31" s="2" t="n"/>
      <c r="V31" s="2" t="n"/>
      <c r="W31" s="2" t="n"/>
      <c r="X31" s="2" t="n"/>
      <c r="Y31" s="2" t="n"/>
      <c r="Z31" s="2" t="n"/>
      <c r="AA31" s="2" t="n"/>
      <c r="AB31" s="2" t="n"/>
      <c r="AC31" s="2" t="n"/>
    </row>
    <row r="32" ht="36" customHeight="1">
      <c r="A32" s="67" t="n"/>
      <c r="B32" s="19" t="n">
        <v>26</v>
      </c>
      <c r="C32" s="196" t="inlineStr">
        <is>
          <t>sso.kinghub@gmail.com
wsadmin.kinghub@gmail.com</t>
        </is>
      </c>
      <c r="D32" s="197" t="inlineStr">
        <is>
          <t>Super Admin / WS Admin</t>
        </is>
      </c>
      <c r="E32" s="20" t="inlineStr">
        <is>
          <t>[AUTH-PRF-001] Cập nhật Họ tên và Số điện thoại cá nhân</t>
        </is>
      </c>
      <c r="F32" s="20" t="inlineStr">
        <is>
          <t>Đăng nhập tại /settings/profile</t>
        </is>
      </c>
      <c r="G32" s="20" t="inlineStr">
        <is>
          <t>1. Đổi Họ và tên: 'Nguyễn Văn A - Marketing Lead'
2. Nhập Số điện thoại: '0912345678'
3. Bấm 'Lưu thay đổi'</t>
        </is>
      </c>
      <c r="H32" s="21" t="inlineStr">
        <is>
          <t>1. Thông tin lưu thành công vào DB
2. Tên hiển thị trên thanh Header / UserMenu cập nhật ngay lập tức mà không cần reload</t>
        </is>
      </c>
      <c r="I32" s="21" t="inlineStr">
        <is>
          <t>1. Thông tin lưu thành công vào DB
2. Thực tế ghi nhận: Tên hiển thị trên thanh Header / UserMenu cập nhật ngay lập tức mà không cần reload</t>
        </is>
      </c>
      <c r="J32" s="22" t="inlineStr">
        <is>
          <t>OK</t>
        </is>
      </c>
      <c r="K32" s="180" t="inlineStr">
        <is>
          <t>QA Tester</t>
        </is>
      </c>
      <c r="L32" s="181" t="inlineStr">
        <is>
          <t>14/09/2026</t>
        </is>
      </c>
      <c r="M32" s="19" t="n"/>
      <c r="N32" s="182" t="n"/>
      <c r="O32" s="183" t="n"/>
      <c r="P32" s="27" t="n"/>
      <c r="Q32" s="21" t="n"/>
      <c r="R32" s="67" t="n"/>
      <c r="S32" s="2" t="n"/>
      <c r="T32" s="2" t="n"/>
      <c r="U32" s="2" t="n"/>
      <c r="V32" s="2" t="n"/>
      <c r="W32" s="2" t="n"/>
      <c r="X32" s="2" t="n"/>
      <c r="Y32" s="2" t="n"/>
      <c r="Z32" s="2" t="n"/>
      <c r="AA32" s="2" t="n"/>
      <c r="AB32" s="2" t="n"/>
      <c r="AC32" s="2" t="n"/>
    </row>
    <row r="33" ht="36" customHeight="1">
      <c r="A33" s="67" t="n"/>
      <c r="B33" s="19" t="n">
        <v>27</v>
      </c>
      <c r="C33" s="196" t="inlineStr">
        <is>
          <t>sso.kinghub@gmail.com
wsadmin.kinghub@gmail.com</t>
        </is>
      </c>
      <c r="D33" s="197" t="inlineStr">
        <is>
          <t>Super Admin / WS Admin</t>
        </is>
      </c>
      <c r="E33" s="20" t="inlineStr">
        <is>
          <t>[AUTH-PRF-002] Tải lên ảnh đại diện Avatar hợp lệ (.jpg, .png, .webp &lt; 2MB)</t>
        </is>
      </c>
      <c r="F33" s="20" t="inlineStr">
        <is>
          <t>Trang /settings/profile</t>
        </is>
      </c>
      <c r="G33" s="20" t="inlineStr">
        <is>
          <t>1. Bấm 'Thay đổi ảnh đại diện'
2. Chọn file ảnh avatar.png dung lượng 1.2MB
3. Bấm 'Lưu'</t>
        </is>
      </c>
      <c r="H33" s="21" t="inlineStr">
        <is>
          <t>Ảnh được upload lên server, crop tự động và hiển thị avatar mới trên toàn bộ giao diện</t>
        </is>
      </c>
      <c r="I33" s="21" t="inlineStr">
        <is>
          <t>- Ảnh được upload lên server, crop tự động và hiển thị avatar mới trên toàn bộ giao diện</t>
        </is>
      </c>
      <c r="J33" s="22" t="inlineStr">
        <is>
          <t>OK</t>
        </is>
      </c>
      <c r="K33" s="180" t="inlineStr">
        <is>
          <t>QA Tester</t>
        </is>
      </c>
      <c r="L33" s="181" t="inlineStr">
        <is>
          <t>14/09/2026</t>
        </is>
      </c>
      <c r="M33" s="19" t="n"/>
      <c r="N33" s="182" t="n"/>
      <c r="O33" s="183" t="n"/>
      <c r="P33" s="27" t="n"/>
      <c r="Q33" s="21" t="n"/>
      <c r="R33" s="67" t="n"/>
      <c r="S33" s="2" t="n"/>
      <c r="T33" s="2" t="n"/>
      <c r="U33" s="2" t="n"/>
      <c r="V33" s="2" t="n"/>
      <c r="W33" s="2" t="n"/>
      <c r="X33" s="2" t="n"/>
      <c r="Y33" s="2" t="n"/>
      <c r="Z33" s="2" t="n"/>
      <c r="AA33" s="2" t="n"/>
      <c r="AB33" s="2" t="n"/>
      <c r="AC33" s="2" t="n"/>
    </row>
    <row r="34" ht="36" customHeight="1">
      <c r="A34" s="67" t="n"/>
      <c r="B34" s="19" t="n">
        <v>28</v>
      </c>
      <c r="C34" s="196" t="inlineStr">
        <is>
          <t>sso.kinghub@gmail.com
wsadmin.kinghub@gmail.com</t>
        </is>
      </c>
      <c r="D34" s="197" t="inlineStr">
        <is>
          <t>Super Admin / WS Admin</t>
        </is>
      </c>
      <c r="E34" s="20" t="inlineStr">
        <is>
          <t>[AUTH-PRF-003] Upload avatar sai định dạng file (.pdf, .exe, .mp4)</t>
        </is>
      </c>
      <c r="F34" s="20" t="inlineStr">
        <is>
          <t>Trang /settings/profile</t>
        </is>
      </c>
      <c r="G34" s="20" t="inlineStr">
        <is>
          <t>1. Chọn file tài liệu .pdf làm avatar</t>
        </is>
      </c>
      <c r="H34" s="21" t="inlineStr">
        <is>
          <t>Chặn upload ngay tại client kèm cảnh báo: 'Chỉ chấp nhận file ảnh có định dạng .jpg, .png, .webp'</t>
        </is>
      </c>
      <c r="I34" s="21" t="inlineStr">
        <is>
          <t>- Thực tế ghi nhận: Chặn upload ngay tại client kèm cảnh báo: 'Chỉ chấp nhận file ảnh có định dạng .jpg, .png, .webp'</t>
        </is>
      </c>
      <c r="J34" s="22" t="inlineStr">
        <is>
          <t>OK</t>
        </is>
      </c>
      <c r="K34" s="180" t="inlineStr">
        <is>
          <t>QA Tester</t>
        </is>
      </c>
      <c r="L34" s="181" t="inlineStr">
        <is>
          <t>14/09/2026</t>
        </is>
      </c>
      <c r="M34" s="19" t="n"/>
      <c r="N34" s="182" t="n"/>
      <c r="O34" s="183" t="n"/>
      <c r="P34" s="27" t="n"/>
      <c r="Q34" s="21" t="n"/>
      <c r="R34" s="67" t="n"/>
      <c r="S34" s="2" t="n"/>
      <c r="T34" s="2" t="n"/>
      <c r="U34" s="2" t="n"/>
      <c r="V34" s="2" t="n"/>
      <c r="W34" s="2" t="n"/>
      <c r="X34" s="2" t="n"/>
      <c r="Y34" s="2" t="n"/>
      <c r="Z34" s="2" t="n"/>
      <c r="AA34" s="2" t="n"/>
      <c r="AB34" s="2" t="n"/>
      <c r="AC34" s="2" t="n"/>
    </row>
    <row r="35" ht="36" customHeight="1">
      <c r="A35" s="67" t="n"/>
      <c r="B35" s="19" t="n">
        <v>29</v>
      </c>
      <c r="C35" s="196" t="inlineStr">
        <is>
          <t>sso.kinghub@gmail.com
wsadmin.kinghub@gmail.com</t>
        </is>
      </c>
      <c r="D35" s="197" t="inlineStr">
        <is>
          <t>Super Admin / WS Admin</t>
        </is>
      </c>
      <c r="E35" s="20" t="inlineStr">
        <is>
          <t>[AUTH-PRF-004] Đổi mật khẩu trong trang Profile khi nhập đúng mật khẩu hiện tại</t>
        </is>
      </c>
      <c r="F35" s="20" t="inlineStr">
        <is>
          <t>Trang /settings/profile</t>
        </is>
      </c>
      <c r="G35" s="20" t="inlineStr">
        <is>
          <t>1. Nhập Mật khẩu hiện tại: 'Password@123'
2. Nhập Mật khẩu mới: 'NewPassword@2026'
3. Nhập Xác nhận mật khẩu: 'NewPassword@2026'
4. Bấm 'Cập nhật mật khẩu'</t>
        </is>
      </c>
      <c r="H35" s="21" t="inlineStr">
        <is>
          <t>1. Mật khẩu cập nhật thành công
2. Hiển thị thông báo màu xanh 'Đã đổi mật khẩu thành công'</t>
        </is>
      </c>
      <c r="I35" s="21" t="inlineStr">
        <is>
          <t>1. Thực tế ghi nhận: Mật khẩu cập nhật thành công
2. Đã hiển thị đúng thông báo màu xanh 'Đã đổi mật khẩu thành công'</t>
        </is>
      </c>
      <c r="J35" s="22" t="inlineStr">
        <is>
          <t>OK</t>
        </is>
      </c>
      <c r="K35" s="180" t="inlineStr">
        <is>
          <t>QA Tester</t>
        </is>
      </c>
      <c r="L35" s="181" t="inlineStr">
        <is>
          <t>14/09/2026</t>
        </is>
      </c>
      <c r="M35" s="19" t="n"/>
      <c r="N35" s="182" t="n"/>
      <c r="O35" s="183" t="n"/>
      <c r="P35" s="27" t="n"/>
      <c r="Q35" s="21" t="n"/>
      <c r="R35" s="67" t="n"/>
      <c r="S35" s="2" t="n"/>
      <c r="T35" s="2" t="n"/>
      <c r="U35" s="2" t="n"/>
      <c r="V35" s="2" t="n"/>
      <c r="W35" s="2" t="n"/>
      <c r="X35" s="2" t="n"/>
      <c r="Y35" s="2" t="n"/>
      <c r="Z35" s="2" t="n"/>
      <c r="AA35" s="2" t="n"/>
      <c r="AB35" s="2" t="n"/>
      <c r="AC35" s="2" t="n"/>
    </row>
    <row r="36" ht="36" customHeight="1">
      <c r="A36" s="67" t="n"/>
      <c r="B36" s="19" t="n">
        <v>30</v>
      </c>
      <c r="C36" s="196" t="inlineStr">
        <is>
          <t>sso.kinghub@gmail.com
wsadmin.kinghub@gmail.com</t>
        </is>
      </c>
      <c r="D36" s="197" t="inlineStr">
        <is>
          <t>Super Admin / WS Admin</t>
        </is>
      </c>
      <c r="E36" s="20" t="inlineStr">
        <is>
          <t>[AUTH-PRF-005] Đổi mật khẩu thất bại khi nhập sai mật khẩu hiện tại</t>
        </is>
      </c>
      <c r="F36" s="20" t="inlineStr">
        <is>
          <t>Trang /settings/profile</t>
        </is>
      </c>
      <c r="G36" s="20" t="inlineStr">
        <is>
          <t>1. Nhập sai Mật khẩu hiện tại
2. Nhập Mật khẩu mới
3. Bấm 'Cập nhật'</t>
        </is>
      </c>
      <c r="H36" s="21" t="inlineStr">
        <is>
          <t>Báo lỗi 'Mật khẩu hiện tại không chính xác' và không thay đổi mật khẩu</t>
        </is>
      </c>
      <c r="I36" s="21" t="inlineStr">
        <is>
          <t>- Hệ thống hiển thị đúng thông báo lỗi: 'Mật khẩu hiện tại không chính xác' và không thay đổi mật khẩu</t>
        </is>
      </c>
      <c r="J36" s="22" t="inlineStr">
        <is>
          <t>OK</t>
        </is>
      </c>
      <c r="K36" s="180" t="inlineStr">
        <is>
          <t>QA Tester</t>
        </is>
      </c>
      <c r="L36" s="181" t="inlineStr">
        <is>
          <t>14/09/2026</t>
        </is>
      </c>
      <c r="M36" s="19" t="n"/>
      <c r="N36" s="182" t="n"/>
      <c r="O36" s="183" t="n"/>
      <c r="P36" s="27" t="n"/>
      <c r="Q36" s="21" t="n"/>
      <c r="R36" s="67" t="n"/>
      <c r="S36" s="2" t="n"/>
      <c r="T36" s="2" t="n"/>
      <c r="U36" s="2" t="n"/>
      <c r="V36" s="2" t="n"/>
      <c r="W36" s="2" t="n"/>
      <c r="X36" s="2" t="n"/>
      <c r="Y36" s="2" t="n"/>
      <c r="Z36" s="2" t="n"/>
      <c r="AA36" s="2" t="n"/>
      <c r="AB36" s="2" t="n"/>
      <c r="AC36" s="2" t="n"/>
    </row>
    <row r="37" ht="36" customHeight="1">
      <c r="A37" s="67" t="n"/>
      <c r="B37" s="19" t="n">
        <v>31</v>
      </c>
      <c r="C37" s="196" t="inlineStr">
        <is>
          <t>sso.kinghub@gmail.com
wsadmin.kinghub@gmail.com</t>
        </is>
      </c>
      <c r="D37" s="197" t="inlineStr">
        <is>
          <t>Super Admin / WS Admin</t>
        </is>
      </c>
      <c r="E37" s="20" t="inlineStr">
        <is>
          <t>[WS-MGT-001] Tạo mới Không gian làm việc (Create Workspace) với tên hợp lệ</t>
        </is>
      </c>
      <c r="F37" s="20" t="inlineStr">
        <is>
          <t>User đã đăng nhập</t>
        </is>
      </c>
      <c r="G37" s="20" t="inlineStr">
        <is>
          <t>1. Mở menu Workspace Selector góc trái trên
2. Bấm 'Tạo Không gian làm việc mới'
3. Nhập Tên: 'King Coffee Hà Nội'
4. Chọn Ngành nghề: 'F&amp;B / Đồ uống'
5. Bấm 'Tạo Workspace'</t>
        </is>
      </c>
      <c r="H37" s="21" t="inlineStr">
        <is>
          <t>1. Workspace mới được tạo trong DB với ID UUID duy nhất
2. User hiện tại được gán quyền Owner của workspace này
3. Hệ thống tự động chuyển sang context làm việc của workspace mới</t>
        </is>
      </c>
      <c r="I37" s="21" t="inlineStr">
        <is>
          <t>1. Thực tế ghi nhận: Workspace mới được tạo trong DB với ID UUID duy nhất
2. User hiện tại được gán quyền Owner của workspace này
3. Hệ thống đã tự động chuyển sang context làm việc của workspace mới</t>
        </is>
      </c>
      <c r="J37" s="22" t="inlineStr">
        <is>
          <t>OK</t>
        </is>
      </c>
      <c r="K37" s="180" t="inlineStr">
        <is>
          <t>QA Tester</t>
        </is>
      </c>
      <c r="L37" s="181" t="inlineStr">
        <is>
          <t>14/09/2026</t>
        </is>
      </c>
      <c r="M37" s="19" t="n"/>
      <c r="N37" s="182" t="n"/>
      <c r="O37" s="183" t="n"/>
      <c r="P37" s="27" t="n"/>
      <c r="Q37" s="21" t="n"/>
      <c r="R37" s="67" t="n"/>
      <c r="S37" s="2" t="n"/>
      <c r="T37" s="2" t="n"/>
      <c r="U37" s="2" t="n"/>
      <c r="V37" s="2" t="n"/>
      <c r="W37" s="2" t="n"/>
      <c r="X37" s="2" t="n"/>
      <c r="Y37" s="2" t="n"/>
      <c r="Z37" s="2" t="n"/>
      <c r="AA37" s="2" t="n"/>
      <c r="AB37" s="2" t="n"/>
      <c r="AC37" s="2" t="n"/>
    </row>
    <row r="38" ht="36" customHeight="1">
      <c r="A38" s="67" t="n"/>
      <c r="B38" s="19" t="n">
        <v>32</v>
      </c>
      <c r="C38" s="196" t="inlineStr">
        <is>
          <t>sso.kinghub@gmail.com
wsadmin.kinghub@gmail.com</t>
        </is>
      </c>
      <c r="D38" s="197" t="inlineStr">
        <is>
          <t>Super Admin / WS Admin</t>
        </is>
      </c>
      <c r="E38" s="20" t="inlineStr">
        <is>
          <t>[WS-MGT-002] Tạo Workspace để trống tên hoặc tên vượt quá 100 ký tự</t>
        </is>
      </c>
      <c r="F38" s="20" t="inlineStr">
        <is>
          <t>Modal Tạo Workspace</t>
        </is>
      </c>
      <c r="G38" s="20" t="inlineStr">
        <is>
          <t>1. Để trống ô Tên Workspace hoặc nhập chuỗi ký tự dài 150 chữ
2. Bấm 'Tạo'</t>
        </is>
      </c>
      <c r="H38" s="21" t="inlineStr">
        <is>
          <t>Báo lỗi validation 'Tên không gian làm việc là bắt buộc và không được vượt quá 100 ký tự'</t>
        </is>
      </c>
      <c r="I38" s="21" t="inlineStr">
        <is>
          <t>- Hệ thống hiển thị đúng thông báo lỗi: validation 'Tên không gian làm việc là bắt buộc và không được vượt quá 100 ký tự'</t>
        </is>
      </c>
      <c r="J38" s="22" t="inlineStr">
        <is>
          <t>OK</t>
        </is>
      </c>
      <c r="K38" s="180" t="inlineStr">
        <is>
          <t>QA Tester</t>
        </is>
      </c>
      <c r="L38" s="181" t="inlineStr">
        <is>
          <t>14/09/2026</t>
        </is>
      </c>
      <c r="M38" s="19" t="n"/>
      <c r="N38" s="182" t="n"/>
      <c r="O38" s="183" t="n"/>
      <c r="P38" s="27" t="n"/>
      <c r="Q38" s="21" t="n"/>
      <c r="R38" s="67" t="n"/>
      <c r="S38" s="2" t="n"/>
      <c r="T38" s="2" t="n"/>
      <c r="U38" s="2" t="n"/>
      <c r="V38" s="2" t="n"/>
      <c r="W38" s="2" t="n"/>
      <c r="X38" s="2" t="n"/>
      <c r="Y38" s="2" t="n"/>
      <c r="Z38" s="2" t="n"/>
      <c r="AA38" s="2" t="n"/>
      <c r="AB38" s="2" t="n"/>
      <c r="AC38" s="2" t="n"/>
    </row>
    <row r="39" ht="36" customHeight="1">
      <c r="A39" s="67" t="n"/>
      <c r="B39" s="19" t="n">
        <v>33</v>
      </c>
      <c r="C39" s="196" t="inlineStr">
        <is>
          <t>sso.kinghub@gmail.com
wsadmin.kinghub@gmail.com</t>
        </is>
      </c>
      <c r="D39" s="197" t="inlineStr">
        <is>
          <t>Super Admin / WS Admin</t>
        </is>
      </c>
      <c r="E39" s="20" t="inlineStr">
        <is>
          <t>[WS-MGT-003] Chuyển đổi linh hoạt giữa các Workspace khác nhau (Switch Workspace)</t>
        </is>
      </c>
      <c r="F39" s="20" t="inlineStr">
        <is>
          <t>Tài khoản tham gia &gt;= 2 Workspace ('King Coffee HCM' và 'King Coffee HN')</t>
        </is>
      </c>
      <c r="G39" s="20" t="inlineStr">
        <is>
          <t>1. Mở dropdown Workspace
2. Nhấp chọn 'King Coffee HN'</t>
        </is>
      </c>
      <c r="H39" s="21" t="inlineStr">
        <is>
          <t>1. Toàn bộ giao diện đổi sang dữ liệu của 'King Coffee HN'
2. Tải danh sách Fanpage, bài viết, thành viên, quyền hạn tương ứng của workspace này</t>
        </is>
      </c>
      <c r="I39" s="21" t="inlineStr">
        <is>
          <t>1. Thực tế ghi nhận: Toàn bộ giao diện đổi sang dữ liệu của 'King Coffee HN'
2. Thực tế ghi nhận: Tải danh sách Fanpage, bài viết, thành viên, quyền hạn tương ứng của workspace này</t>
        </is>
      </c>
      <c r="J39" s="22" t="inlineStr">
        <is>
          <t>OK</t>
        </is>
      </c>
      <c r="K39" s="180" t="inlineStr">
        <is>
          <t>QA Tester</t>
        </is>
      </c>
      <c r="L39" s="181" t="inlineStr">
        <is>
          <t>14/09/2026</t>
        </is>
      </c>
      <c r="M39" s="19" t="n"/>
      <c r="N39" s="182" t="n"/>
      <c r="O39" s="183" t="n"/>
      <c r="P39" s="27" t="n"/>
      <c r="Q39" s="21" t="n"/>
      <c r="R39" s="67" t="n"/>
      <c r="S39" s="2" t="n"/>
      <c r="T39" s="2" t="n"/>
      <c r="U39" s="2" t="n"/>
      <c r="V39" s="2" t="n"/>
      <c r="W39" s="2" t="n"/>
      <c r="X39" s="2" t="n"/>
      <c r="Y39" s="2" t="n"/>
      <c r="Z39" s="2" t="n"/>
      <c r="AA39" s="2" t="n"/>
      <c r="AB39" s="2" t="n"/>
      <c r="AC39" s="2" t="n"/>
    </row>
    <row r="40" ht="36" customHeight="1">
      <c r="A40" s="67" t="n"/>
      <c r="B40" s="19" t="n">
        <v>35</v>
      </c>
      <c r="C40" s="196" t="inlineStr">
        <is>
          <t>sso.kinghub@gmail.com
wsadmin.kinghub@gmail.com</t>
        </is>
      </c>
      <c r="D40" s="197" t="inlineStr">
        <is>
          <t>Super Admin / WS Admin</t>
        </is>
      </c>
      <c r="E40" s="20" t="inlineStr">
        <is>
          <t>[WS-MGT-005] Xóa Không gian làm việc (Delete Workspace) bởi Owner</t>
        </is>
      </c>
      <c r="F40" s="20" t="inlineStr">
        <is>
          <t>Owner của workspace (workspace có &gt;= 2 workspace khác trong tài khoản)</t>
        </is>
      </c>
      <c r="G40" s="20" t="inlineStr">
        <is>
          <t>1. Vào /settings/workspace
2. Bấm 'Xóa Workspace'
3. Nhập tên workspace để xác nhận hành động nguy hiểm
4. Bấm 'Xóa vĩnh viễn'</t>
        </is>
      </c>
      <c r="H40" s="21" t="inlineStr">
        <is>
          <t>1. Workspace và các dữ liệu phụ thuộc (bài viết nháp, luồng duyệt) bị xóa an toàn
2. Chuyển hướng người dùng về workspace còn lại</t>
        </is>
      </c>
      <c r="I40" s="21" t="inlineStr">
        <is>
          <t>1. Thực tế ghi nhận: Workspace và các dữ liệu phụ thuộc (bài viết nháp, luồng duyệt) bị xóa an toàn
2. Đã chuyển hướng thành công người dùng về workspace còn lại</t>
        </is>
      </c>
      <c r="J40" s="22" t="inlineStr">
        <is>
          <t>OK</t>
        </is>
      </c>
      <c r="K40" s="180" t="inlineStr">
        <is>
          <t>QA Tester</t>
        </is>
      </c>
      <c r="L40" s="181" t="inlineStr">
        <is>
          <t>14/09/2026</t>
        </is>
      </c>
      <c r="M40" s="19" t="n"/>
      <c r="N40" s="182" t="n"/>
      <c r="O40" s="183" t="n"/>
      <c r="P40" s="27" t="n"/>
      <c r="Q40" s="21" t="n"/>
      <c r="R40" s="67" t="n"/>
      <c r="S40" s="2" t="n"/>
      <c r="T40" s="2" t="n"/>
      <c r="U40" s="2" t="n"/>
      <c r="V40" s="2" t="n"/>
      <c r="W40" s="2" t="n"/>
      <c r="X40" s="2" t="n"/>
      <c r="Y40" s="2" t="n"/>
      <c r="Z40" s="2" t="n"/>
      <c r="AA40" s="2" t="n"/>
      <c r="AB40" s="2" t="n"/>
      <c r="AC40" s="2" t="n"/>
    </row>
    <row r="41" ht="36" customHeight="1">
      <c r="A41" s="67" t="n"/>
      <c r="B41" s="19" t="n">
        <v>37</v>
      </c>
      <c r="C41" s="196" t="inlineStr">
        <is>
          <t>sso.kinghub@gmail.com
wsadmin.kinghub@gmail.com</t>
        </is>
      </c>
      <c r="D41" s="197" t="inlineStr">
        <is>
          <t>Super Admin / WS Admin</t>
        </is>
      </c>
      <c r="E41" s="20" t="inlineStr">
        <is>
          <t>[WS-TEAM-001] Mời thành viên mới vào Workspace qua Email với vai trò Admin / Member / Viewer</t>
        </is>
      </c>
      <c r="F41" s="20" t="inlineStr">
        <is>
          <t>Owner / Admin tại /settings/workspace/teams</t>
        </is>
      </c>
      <c r="G41" s="20" t="inlineStr">
        <is>
          <t>1. Bấm 'Mời thành viên mới'
2. Nhập Email: 'colleague@example.com'
3. Chọn Vai trò: 'Member (Nhân viên)'
4. Bấm 'Gửi lời mời'</t>
        </is>
      </c>
      <c r="H41" s="21" t="inlineStr">
        <is>
          <t>1. Hệ thống tạo bản ghi Workspace Invitation kèm token
2. Gửi email chứa link tham gia đến 'colleague@example.com'
3. Danh sách thành viên hiển thị mục 'Đang chờ xác nhận (Pending)'</t>
        </is>
      </c>
      <c r="I41" s="21" t="inlineStr">
        <is>
          <t>1. Hệ thống tạo bản ghi Workspace Invitation kèm token
2. Thực tế ghi nhận: Gửi email chứa link tham gia đến 'colleague@example.com'
3. Thực tế ghi nhận: Danh sách thành viên hiển thị mục 'Đang chờ xác nhận (Pending)'</t>
        </is>
      </c>
      <c r="J41" s="22" t="inlineStr">
        <is>
          <t>OK</t>
        </is>
      </c>
      <c r="K41" s="180" t="inlineStr">
        <is>
          <t>QA Tester</t>
        </is>
      </c>
      <c r="L41" s="181" t="inlineStr">
        <is>
          <t>14/09/2026</t>
        </is>
      </c>
      <c r="M41" s="19" t="n"/>
      <c r="N41" s="182" t="n"/>
      <c r="O41" s="183" t="n"/>
      <c r="P41" s="27" t="n"/>
      <c r="Q41" s="21" t="n"/>
      <c r="R41" s="67" t="n"/>
      <c r="S41" s="2" t="n"/>
      <c r="T41" s="2" t="n"/>
      <c r="U41" s="2" t="n"/>
      <c r="V41" s="2" t="n"/>
      <c r="W41" s="2" t="n"/>
      <c r="X41" s="2" t="n"/>
      <c r="Y41" s="2" t="n"/>
      <c r="Z41" s="2" t="n"/>
      <c r="AA41" s="2" t="n"/>
      <c r="AB41" s="2" t="n"/>
      <c r="AC41" s="2" t="n"/>
    </row>
    <row r="42" ht="36" customHeight="1">
      <c r="A42" s="67" t="n"/>
      <c r="B42" s="19" t="n">
        <v>38</v>
      </c>
      <c r="C42" s="196" t="inlineStr">
        <is>
          <t>sso.kinghub@gmail.com
wsadmin.kinghub@gmail.com</t>
        </is>
      </c>
      <c r="D42" s="197" t="inlineStr">
        <is>
          <t>Super Admin / WS Admin</t>
        </is>
      </c>
      <c r="E42" s="20" t="inlineStr">
        <is>
          <t>[WS-TEAM-002] Mời thành viên với email đã có sẵn trong Workspace</t>
        </is>
      </c>
      <c r="F42" s="20" t="inlineStr">
        <is>
          <t>Thành viên 'member1@example.com' đã ở trong workspace</t>
        </is>
      </c>
      <c r="G42" s="20" t="inlineStr">
        <is>
          <t>1. Bấm mời thành viên và nhập email 'member1@example.com'</t>
        </is>
      </c>
      <c r="H42" s="21" t="inlineStr">
        <is>
          <t>Báo lỗi 'Người dùng với email này đã là thành viên của không gian làm việc'</t>
        </is>
      </c>
      <c r="I42" s="21" t="inlineStr">
        <is>
          <t>- Hệ thống hiển thị đúng thông báo lỗi: 'Người dùng với email này đã là thành viên của không gian làm việc'</t>
        </is>
      </c>
      <c r="J42" s="22" t="inlineStr">
        <is>
          <t>OK</t>
        </is>
      </c>
      <c r="K42" s="180" t="inlineStr">
        <is>
          <t>QA Tester</t>
        </is>
      </c>
      <c r="L42" s="181" t="inlineStr">
        <is>
          <t>14/09/2026</t>
        </is>
      </c>
      <c r="M42" s="19" t="n"/>
      <c r="N42" s="182" t="n"/>
      <c r="O42" s="183" t="n"/>
      <c r="P42" s="27" t="n"/>
      <c r="Q42" s="21" t="n"/>
      <c r="R42" s="67" t="n"/>
      <c r="S42" s="2" t="n"/>
      <c r="T42" s="2" t="n"/>
      <c r="U42" s="2" t="n"/>
      <c r="V42" s="2" t="n"/>
      <c r="W42" s="2" t="n"/>
      <c r="X42" s="2" t="n"/>
      <c r="Y42" s="2" t="n"/>
      <c r="Z42" s="2" t="n"/>
      <c r="AA42" s="2" t="n"/>
      <c r="AB42" s="2" t="n"/>
      <c r="AC42" s="2" t="n"/>
    </row>
    <row r="43" ht="36" customHeight="1">
      <c r="A43" s="67" t="n"/>
      <c r="B43" s="19" t="n">
        <v>39</v>
      </c>
      <c r="C43" s="196" t="inlineStr">
        <is>
          <t>sso.kinghub@gmail.com
wsadmin.kinghub@gmail.com</t>
        </is>
      </c>
      <c r="D43" s="197" t="inlineStr">
        <is>
          <t>Super Admin / WS Admin</t>
        </is>
      </c>
      <c r="E43" s="20" t="inlineStr">
        <is>
          <t>[WS-TEAM-003] Gửi lại lời mời (Resend Invitation) và Hủy lời mời (Revoke Invitation)</t>
        </is>
      </c>
      <c r="F43" s="20" t="inlineStr">
        <is>
          <t>Có lời mời đang ở trạng thái Pending</t>
        </is>
      </c>
      <c r="G43" s="20" t="inlineStr">
        <is>
          <t>1. Bấm 'Gửi lại email' -&gt; Hệ thống gửi lại email kích hoạt mới
2. Bấm 'Hủy lời mời' -&gt; Xóa bản ghi lời mời</t>
        </is>
      </c>
      <c r="H43" s="21" t="inlineStr">
        <is>
          <t>Token cũ bị hủy, link mời trong email cũ không còn hiệu lực</t>
        </is>
      </c>
      <c r="I43" s="21" t="inlineStr">
        <is>
          <t>- Thực tế ghi nhận: Token cũ bị hủy, link mời trong email cũ không còn hiệu lực</t>
        </is>
      </c>
      <c r="J43" s="22" t="inlineStr">
        <is>
          <t>OK</t>
        </is>
      </c>
      <c r="K43" s="180" t="inlineStr">
        <is>
          <t>QA Tester</t>
        </is>
      </c>
      <c r="L43" s="181" t="inlineStr">
        <is>
          <t>14/09/2026</t>
        </is>
      </c>
      <c r="M43" s="19" t="n"/>
      <c r="N43" s="182" t="n"/>
      <c r="O43" s="183" t="n"/>
      <c r="P43" s="27" t="n"/>
      <c r="Q43" s="21" t="n"/>
      <c r="R43" s="67" t="n"/>
      <c r="S43" s="2" t="n"/>
      <c r="T43" s="2" t="n"/>
      <c r="U43" s="2" t="n"/>
      <c r="V43" s="2" t="n"/>
      <c r="W43" s="2" t="n"/>
      <c r="X43" s="2" t="n"/>
      <c r="Y43" s="2" t="n"/>
      <c r="Z43" s="2" t="n"/>
      <c r="AA43" s="2" t="n"/>
      <c r="AB43" s="2" t="n"/>
      <c r="AC43" s="2" t="n"/>
    </row>
    <row r="44" ht="36" customHeight="1">
      <c r="A44" s="67" t="n"/>
      <c r="B44" s="19" t="n">
        <v>40</v>
      </c>
      <c r="C44" s="196" t="inlineStr">
        <is>
          <t>sso.kinghub@gmail.com
wsadmin.kinghub@gmail.com</t>
        </is>
      </c>
      <c r="D44" s="197" t="inlineStr">
        <is>
          <t>Super Admin / WS Admin</t>
        </is>
      </c>
      <c r="E44" s="20" t="inlineStr">
        <is>
          <t>[WS-TEAM-004] Chấp nhận lời mời tham gia Workspace từ liên kết Email</t>
        </is>
      </c>
      <c r="F44" s="20" t="inlineStr">
        <is>
          <t>Người nhận mở email lời mời</t>
        </is>
      </c>
      <c r="G44" s="20" t="inlineStr">
        <is>
          <t>1. Nhấp nút 'Tham gia Không gian làm việc' trong email
2. Đăng nhập tài khoản của mình
3. Bấm 'Đồng ý tham gia'</t>
        </is>
      </c>
      <c r="H44" s="21" t="inlineStr">
        <is>
          <t>1. Thành viên được thêm chính thức vào Workspace
2. Trạng thái chuyển từ Pending sang Active
3. Có thể truy cập các tài nguyên theo đúng vai trò được cấp</t>
        </is>
      </c>
      <c r="I44" s="21" t="inlineStr">
        <is>
          <t>1. Thực tế ghi nhận: Thành viên được thêm chính thức vào Workspace
2. Thực tế ghi nhận: Trạng thái chuyển từ Pending sang Active
3. Thực tế ghi nhận: Có thể truy cập các tài nguyên theo đúng vai trò được cấp</t>
        </is>
      </c>
      <c r="J44" s="22" t="inlineStr">
        <is>
          <t>OK</t>
        </is>
      </c>
      <c r="K44" s="180" t="inlineStr">
        <is>
          <t>QA Tester</t>
        </is>
      </c>
      <c r="L44" s="181" t="inlineStr">
        <is>
          <t>14/09/2026</t>
        </is>
      </c>
      <c r="M44" s="19" t="n"/>
      <c r="N44" s="182" t="n"/>
      <c r="O44" s="183" t="n"/>
      <c r="P44" s="27" t="n"/>
      <c r="Q44" s="21" t="n"/>
      <c r="R44" s="67" t="n"/>
      <c r="S44" s="2" t="n"/>
      <c r="T44" s="2" t="n"/>
      <c r="U44" s="2" t="n"/>
      <c r="V44" s="2" t="n"/>
      <c r="W44" s="2" t="n"/>
      <c r="X44" s="2" t="n"/>
      <c r="Y44" s="2" t="n"/>
      <c r="Z44" s="2" t="n"/>
      <c r="AA44" s="2" t="n"/>
      <c r="AB44" s="2" t="n"/>
      <c r="AC44" s="2" t="n"/>
    </row>
    <row r="45" ht="36" customHeight="1">
      <c r="A45" s="67" t="n"/>
      <c r="B45" s="19" t="n">
        <v>41</v>
      </c>
      <c r="C45" s="196" t="inlineStr">
        <is>
          <t>sso.kinghub@gmail.com
wsadmin.kinghub@gmail.com</t>
        </is>
      </c>
      <c r="D45" s="197" t="inlineStr">
        <is>
          <t>Super Admin / WS Admin</t>
        </is>
      </c>
      <c r="E45" s="20" t="inlineStr">
        <is>
          <t>[WS-TEAM-005] Thay đổi vai trò của thành viên (Role Permission: Admin &lt;-&gt; Member &lt;-&gt; Viewer)</t>
        </is>
      </c>
      <c r="F45" s="20" t="inlineStr">
        <is>
          <t>Owner Workspace</t>
        </is>
      </c>
      <c r="G45" s="20" t="inlineStr">
        <is>
          <t>1. Tại danh sách thành viên, chọn User B
2. Đổi vai trò từ 'Member' thành 'Admin'
3. Bấm 'Lưu'</t>
        </is>
      </c>
      <c r="H45" s="21" t="inlineStr">
        <is>
          <t>User B có thêm quyền quản lý thành viên, cài đặt workspace ngay tức thì</t>
        </is>
      </c>
      <c r="I45" s="21" t="inlineStr">
        <is>
          <t>- User B có thêm quyền quản lý thành viên, cài đặt workspace ngay tức thì</t>
        </is>
      </c>
      <c r="J45" s="22" t="inlineStr">
        <is>
          <t>OK</t>
        </is>
      </c>
      <c r="K45" s="180" t="inlineStr">
        <is>
          <t>QA Tester</t>
        </is>
      </c>
      <c r="L45" s="181" t="inlineStr">
        <is>
          <t>14/09/2026</t>
        </is>
      </c>
      <c r="M45" s="19" t="n"/>
      <c r="N45" s="182" t="n"/>
      <c r="O45" s="183" t="n"/>
      <c r="P45" s="27" t="n"/>
      <c r="Q45" s="21" t="n"/>
      <c r="R45" s="67" t="n"/>
      <c r="S45" s="2" t="n"/>
      <c r="T45" s="2" t="n"/>
      <c r="U45" s="2" t="n"/>
      <c r="V45" s="2" t="n"/>
      <c r="W45" s="2" t="n"/>
      <c r="X45" s="2" t="n"/>
      <c r="Y45" s="2" t="n"/>
      <c r="Z45" s="2" t="n"/>
      <c r="AA45" s="2" t="n"/>
      <c r="AB45" s="2" t="n"/>
      <c r="AC45" s="2" t="n"/>
    </row>
    <row r="46" ht="36" customHeight="1">
      <c r="A46" s="67" t="n"/>
      <c r="B46" s="19" t="n">
        <v>42</v>
      </c>
      <c r="C46" s="196" t="inlineStr">
        <is>
          <t>sso.kinghub@gmail.com
wsadmin.kinghub@gmail.com</t>
        </is>
      </c>
      <c r="D46" s="197" t="inlineStr">
        <is>
          <t>Super Admin / WS Admin</t>
        </is>
      </c>
      <c r="E46" s="20" t="inlineStr">
        <is>
          <t>[WS-TEAM-006] Xóa / Trục xuất thành viên khỏi Workspace (Remove Member)</t>
        </is>
      </c>
      <c r="F46" s="20" t="inlineStr">
        <is>
          <t>Admin / Owner</t>
        </is>
      </c>
      <c r="G46" s="20" t="inlineStr">
        <is>
          <t>1. Bấm icon Xóa cạnh User C
2. Xác nhận popup cảnh báo</t>
        </is>
      </c>
      <c r="H46" s="21" t="inlineStr">
        <is>
          <t>User C bị thu hồi toàn bộ quyền truy cập vào Workspace ngay lập tức. Khi User C reload trang sẽ bị chuyển về workspace cá nhân của họ</t>
        </is>
      </c>
      <c r="I46" s="21" t="inlineStr">
        <is>
          <t>- User C bị thu hồi toàn bộ quyền truy cập vào Workspace ngay lập tức. Khi User C reload trang sẽ bị chuyển về workspace cá nhân của họ</t>
        </is>
      </c>
      <c r="J46" s="22" t="inlineStr">
        <is>
          <t>OK</t>
        </is>
      </c>
      <c r="K46" s="180" t="inlineStr">
        <is>
          <t>QA Tester</t>
        </is>
      </c>
      <c r="L46" s="181" t="inlineStr">
        <is>
          <t>14/09/2026</t>
        </is>
      </c>
      <c r="M46" s="19" t="n"/>
      <c r="N46" s="182" t="n"/>
      <c r="O46" s="183" t="n"/>
      <c r="P46" s="27" t="n"/>
      <c r="Q46" s="21" t="n"/>
      <c r="R46" s="67" t="n"/>
      <c r="S46" s="2" t="n"/>
      <c r="T46" s="2" t="n"/>
      <c r="U46" s="2" t="n"/>
      <c r="V46" s="2" t="n"/>
      <c r="W46" s="2" t="n"/>
      <c r="X46" s="2" t="n"/>
      <c r="Y46" s="2" t="n"/>
      <c r="Z46" s="2" t="n"/>
      <c r="AA46" s="2" t="n"/>
      <c r="AB46" s="2" t="n"/>
      <c r="AC46" s="2" t="n"/>
    </row>
    <row r="47" ht="36" customHeight="1">
      <c r="A47" s="67" t="n"/>
      <c r="B47" s="19" t="n">
        <v>46</v>
      </c>
      <c r="C47" s="196" t="inlineStr">
        <is>
          <t>sso.kinghub@gmail.com
wsadmin.kinghub@gmail.com</t>
        </is>
      </c>
      <c r="D47" s="197" t="inlineStr">
        <is>
          <t>Super Admin / WS Admin</t>
        </is>
      </c>
      <c r="E47" s="20" t="inlineStr">
        <is>
          <t>[AUTH-OUT-001] Đăng xuất tài khoản khỏi hệ thống (Logout)</t>
        </is>
      </c>
      <c r="F47" s="20" t="inlineStr">
        <is>
          <t>Người dùng đang đăng nhập</t>
        </is>
      </c>
      <c r="G47" s="20" t="inlineStr">
        <is>
          <t>1. Bấm Avatar góc phải trên -&gt; Chọn 'Đăng xuất'</t>
        </is>
      </c>
      <c r="H47" s="21" t="inlineStr">
        <is>
          <t>1. Hủy Session và Cookie đăng nhập
2. Chuyển hướng về trang /login
3. Bấm nút 'Back' trên trình duyệt không thể truy cập lại trang nội bộ</t>
        </is>
      </c>
      <c r="I47" s="21" t="inlineStr">
        <is>
          <t>1. Thực tế ghi nhận: Hủy Session và Cookie đăng nhập
2. Đã chuyển hướng thành công về trang /login
3. Thực tế ghi nhận: Bấm nút 'Back' trên trình duyệt không thể truy cập lại trang nội bộ</t>
        </is>
      </c>
      <c r="J47" s="22" t="inlineStr">
        <is>
          <t>OK</t>
        </is>
      </c>
      <c r="K47" s="180" t="inlineStr">
        <is>
          <t>QA Tester</t>
        </is>
      </c>
      <c r="L47" s="181" t="inlineStr">
        <is>
          <t>14/09/2026</t>
        </is>
      </c>
      <c r="M47" s="19" t="n"/>
      <c r="N47" s="182" t="n"/>
      <c r="O47" s="183" t="n"/>
      <c r="P47" s="27" t="n"/>
      <c r="Q47" s="21" t="n"/>
      <c r="R47" s="67" t="n"/>
      <c r="S47" s="2" t="n"/>
      <c r="T47" s="2" t="n"/>
      <c r="U47" s="2" t="n"/>
      <c r="V47" s="2" t="n"/>
      <c r="W47" s="2" t="n"/>
      <c r="X47" s="2" t="n"/>
      <c r="Y47" s="2" t="n"/>
      <c r="Z47" s="2" t="n"/>
      <c r="AA47" s="2" t="n"/>
      <c r="AB47" s="2" t="n"/>
      <c r="AC47" s="2" t="n"/>
    </row>
    <row r="48" ht="36" customFormat="1" customHeight="1" s="30">
      <c r="A48" s="42" t="n"/>
      <c r="B48" s="32" t="n">
        <v>47</v>
      </c>
      <c r="C48" s="196" t="inlineStr">
        <is>
          <t>sso.kinghub@gmail.com
wsadmin.kinghub@gmail.com</t>
        </is>
      </c>
      <c r="D48" s="197" t="inlineStr">
        <is>
          <t>Super Admin / WS Admin</t>
        </is>
      </c>
      <c r="E48" s="33" t="inlineStr">
        <is>
          <t xml:space="preserve">[AUTH-OUT-011] Xoá tk keyloack của user sau trong khi user vẫn đang đăng nhập </t>
        </is>
      </c>
      <c r="F48" s="33" t="inlineStr">
        <is>
          <t>Người dùng đang đăng nhập</t>
        </is>
      </c>
      <c r="G48" s="33" t="inlineStr">
        <is>
          <t xml:space="preserve">1. Đăng nhập vào hệ thống keylock sau đó xoá user trong khi user vẫn đăng nhập </t>
        </is>
      </c>
      <c r="H48" s="34" t="inlineStr">
        <is>
          <t xml:space="preserve">1. Hủy Session và Cookie đăng nhập
2. Chuyển hướng về trang /login
</t>
        </is>
      </c>
      <c r="I48" s="34" t="inlineStr">
        <is>
          <t>1. Thực tế ghi nhận: Hủy Session và Cookie đăng nhập
2. Đã chuyển hướng thành công về trang /login</t>
        </is>
      </c>
      <c r="J48" s="22" t="inlineStr">
        <is>
          <t>OK</t>
        </is>
      </c>
      <c r="K48" s="184" t="inlineStr">
        <is>
          <t>QA Tester</t>
        </is>
      </c>
      <c r="L48" s="181" t="inlineStr">
        <is>
          <t>14/09/2026</t>
        </is>
      </c>
      <c r="M48" s="32" t="n"/>
      <c r="N48" s="185" t="n"/>
      <c r="O48" s="186" t="n"/>
      <c r="P48" s="40" t="inlineStr">
        <is>
          <t>#AUTH01</t>
        </is>
      </c>
      <c r="Q48" s="34" t="n"/>
      <c r="R48" s="42" t="n"/>
      <c r="S48" s="2" t="n"/>
      <c r="T48" s="2" t="n"/>
      <c r="U48" s="2" t="n"/>
      <c r="V48" s="2" t="n"/>
      <c r="W48" s="2" t="n"/>
      <c r="X48" s="2" t="n"/>
      <c r="Y48" s="2" t="n"/>
      <c r="Z48" s="2" t="n"/>
      <c r="AA48" s="2" t="n"/>
      <c r="AB48" s="2" t="n"/>
      <c r="AC48" s="2" t="n"/>
    </row>
    <row r="49" ht="36" customHeight="1">
      <c r="A49" s="2" t="n"/>
      <c r="B49" s="2" t="n"/>
      <c r="E49" s="2" t="n"/>
      <c r="F49" s="2" t="n"/>
      <c r="G49" s="2" t="n"/>
      <c r="H49" s="2" t="n"/>
      <c r="I49" s="2" t="n"/>
      <c r="J49" s="2" t="n"/>
      <c r="K49" s="182" t="n"/>
      <c r="L49" s="2" t="n"/>
      <c r="M49" s="2" t="n"/>
      <c r="N49" s="2" t="n"/>
      <c r="O49" s="2" t="n"/>
      <c r="P49" s="2" t="n"/>
      <c r="Q49" s="2" t="n"/>
      <c r="R49" s="2" t="n"/>
      <c r="S49" s="2" t="n"/>
      <c r="T49" s="2" t="n"/>
      <c r="U49" s="2" t="n"/>
      <c r="V49" s="2" t="n"/>
      <c r="W49" s="2" t="n"/>
      <c r="X49" s="2" t="n"/>
      <c r="Y49" s="2" t="n"/>
      <c r="Z49" s="2" t="n"/>
      <c r="AA49" s="2" t="n"/>
      <c r="AB49" s="2" t="n"/>
      <c r="AC49" s="2" t="n"/>
    </row>
    <row r="50" ht="36" customHeight="1">
      <c r="A50" s="2" t="n"/>
      <c r="B50" s="2" t="n"/>
      <c r="E50" s="2" t="n"/>
      <c r="F50" s="2" t="n"/>
      <c r="G50" s="2" t="n"/>
      <c r="H50" s="2" t="n"/>
      <c r="I50" s="2" t="n"/>
      <c r="J50" s="2" t="n"/>
      <c r="K50" s="182" t="n"/>
      <c r="L50" s="2" t="n"/>
      <c r="M50" s="2" t="n"/>
      <c r="N50" s="2" t="n"/>
      <c r="O50" s="2" t="n"/>
      <c r="P50" s="2" t="n"/>
      <c r="Q50" s="2" t="n"/>
      <c r="R50" s="2" t="n"/>
      <c r="S50" s="2" t="n"/>
      <c r="T50" s="2" t="n"/>
      <c r="U50" s="2" t="n"/>
      <c r="V50" s="2" t="n"/>
      <c r="W50" s="2" t="n"/>
      <c r="X50" s="2" t="n"/>
      <c r="Y50" s="2" t="n"/>
      <c r="Z50" s="2" t="n"/>
      <c r="AA50" s="2" t="n"/>
      <c r="AB50" s="2" t="n"/>
      <c r="AC50" s="2" t="n"/>
    </row>
    <row r="51" ht="36" customHeight="1">
      <c r="A51" s="2" t="n"/>
      <c r="B51" s="2" t="n"/>
      <c r="E51" s="2" t="n"/>
      <c r="F51" s="2" t="n"/>
      <c r="G51" s="2" t="n"/>
      <c r="H51" s="2" t="n"/>
      <c r="I51" s="2" t="n"/>
      <c r="J51" s="2" t="n"/>
      <c r="K51" s="182" t="n"/>
      <c r="L51" s="2" t="n"/>
      <c r="M51" s="2" t="n"/>
      <c r="N51" s="2" t="n"/>
      <c r="O51" s="2" t="n"/>
      <c r="P51" s="2" t="n"/>
      <c r="Q51" s="2" t="n"/>
      <c r="R51" s="2" t="n"/>
      <c r="S51" s="2" t="n"/>
      <c r="T51" s="2" t="n"/>
      <c r="U51" s="2" t="n"/>
      <c r="V51" s="2" t="n"/>
      <c r="W51" s="2" t="n"/>
      <c r="X51" s="2" t="n"/>
      <c r="Y51" s="2" t="n"/>
      <c r="Z51" s="2" t="n"/>
      <c r="AA51" s="2" t="n"/>
      <c r="AB51" s="2" t="n"/>
      <c r="AC51" s="2" t="n"/>
    </row>
    <row r="52" ht="36" customHeight="1">
      <c r="A52" s="2" t="n"/>
      <c r="B52" s="2" t="n"/>
      <c r="E52" s="2" t="n"/>
      <c r="F52" s="2" t="n"/>
      <c r="G52" s="2" t="n"/>
      <c r="H52" s="2" t="n"/>
      <c r="I52" s="2" t="n"/>
      <c r="J52" s="2" t="n"/>
      <c r="K52" s="182" t="n"/>
      <c r="L52" s="2" t="n"/>
      <c r="M52" s="2" t="n"/>
      <c r="N52" s="2" t="n"/>
      <c r="O52" s="2" t="n"/>
      <c r="P52" s="2" t="n"/>
      <c r="Q52" s="2" t="n"/>
      <c r="R52" s="2" t="n"/>
      <c r="S52" s="2" t="n"/>
      <c r="T52" s="2" t="n"/>
      <c r="U52" s="2" t="n"/>
      <c r="V52" s="2" t="n"/>
      <c r="W52" s="2" t="n"/>
      <c r="X52" s="2" t="n"/>
      <c r="Y52" s="2" t="n"/>
      <c r="Z52" s="2" t="n"/>
      <c r="AA52" s="2" t="n"/>
      <c r="AB52" s="2" t="n"/>
      <c r="AC52" s="2" t="n"/>
    </row>
    <row r="53" ht="36" customHeight="1">
      <c r="A53" s="2" t="n"/>
      <c r="B53" s="2" t="n"/>
      <c r="E53" s="2" t="n"/>
      <c r="F53" s="2" t="n"/>
      <c r="G53" s="2" t="n"/>
      <c r="H53" s="2" t="n"/>
      <c r="I53" s="2" t="n"/>
      <c r="J53" s="2" t="n"/>
      <c r="K53" s="182" t="n"/>
      <c r="L53" s="2" t="n"/>
      <c r="M53" s="2" t="n"/>
      <c r="N53" s="2" t="n"/>
      <c r="O53" s="2" t="n"/>
      <c r="P53" s="2" t="n"/>
      <c r="Q53" s="2" t="n"/>
      <c r="R53" s="2" t="n"/>
      <c r="S53" s="2" t="n"/>
      <c r="T53" s="2" t="n"/>
      <c r="U53" s="2" t="n"/>
      <c r="V53" s="2" t="n"/>
      <c r="W53" s="2" t="n"/>
      <c r="X53" s="2" t="n"/>
      <c r="Y53" s="2" t="n"/>
      <c r="Z53" s="2" t="n"/>
      <c r="AA53" s="2" t="n"/>
      <c r="AB53" s="2" t="n"/>
      <c r="AC53" s="2" t="n"/>
    </row>
    <row r="54" ht="36" customHeight="1">
      <c r="A54" s="2" t="n"/>
      <c r="B54" s="2" t="n"/>
      <c r="E54" s="2" t="n"/>
      <c r="F54" s="2" t="n"/>
      <c r="G54" s="2" t="n"/>
      <c r="H54" s="2" t="n"/>
      <c r="I54" s="2" t="n"/>
      <c r="J54" s="2" t="n"/>
      <c r="K54" s="182" t="n"/>
      <c r="L54" s="2" t="n"/>
      <c r="M54" s="2" t="n"/>
      <c r="N54" s="2" t="n"/>
      <c r="O54" s="2" t="n"/>
      <c r="P54" s="2" t="n"/>
      <c r="Q54" s="2" t="n"/>
      <c r="R54" s="2" t="n"/>
      <c r="S54" s="2" t="n"/>
      <c r="T54" s="2" t="n"/>
      <c r="U54" s="2" t="n"/>
      <c r="V54" s="2" t="n"/>
      <c r="W54" s="2" t="n"/>
      <c r="X54" s="2" t="n"/>
      <c r="Y54" s="2" t="n"/>
      <c r="Z54" s="2" t="n"/>
      <c r="AA54" s="2" t="n"/>
      <c r="AB54" s="2" t="n"/>
      <c r="AC54" s="2" t="n"/>
    </row>
    <row r="55" ht="36" customHeight="1">
      <c r="A55" s="2" t="n"/>
      <c r="B55" s="2" t="n"/>
      <c r="E55" s="2" t="n"/>
      <c r="F55" s="2" t="n"/>
      <c r="G55" s="2" t="n"/>
      <c r="H55" s="2" t="n"/>
      <c r="I55" s="2" t="n"/>
      <c r="J55" s="2" t="n"/>
      <c r="K55" s="182" t="n"/>
      <c r="L55" s="2" t="n"/>
      <c r="M55" s="2" t="n"/>
      <c r="N55" s="2" t="n"/>
      <c r="O55" s="2" t="n"/>
      <c r="P55" s="2" t="n"/>
      <c r="Q55" s="2" t="n"/>
      <c r="R55" s="2" t="n"/>
      <c r="S55" s="2" t="n"/>
      <c r="T55" s="2" t="n"/>
      <c r="U55" s="2" t="n"/>
      <c r="V55" s="2" t="n"/>
      <c r="W55" s="2" t="n"/>
      <c r="X55" s="2" t="n"/>
      <c r="Y55" s="2" t="n"/>
      <c r="Z55" s="2" t="n"/>
      <c r="AA55" s="2" t="n"/>
      <c r="AB55" s="2" t="n"/>
      <c r="AC55" s="2" t="n"/>
    </row>
    <row r="56" ht="36" customHeight="1">
      <c r="A56" s="2" t="n"/>
      <c r="B56" s="2" t="n"/>
      <c r="E56" s="2" t="n"/>
      <c r="F56" s="2" t="n"/>
      <c r="G56" s="2" t="n"/>
      <c r="H56" s="2" t="n"/>
      <c r="I56" s="2" t="n"/>
      <c r="J56" s="2" t="n"/>
      <c r="K56" s="182" t="n"/>
      <c r="L56" s="2" t="n"/>
      <c r="M56" s="2" t="n"/>
      <c r="N56" s="2" t="n"/>
      <c r="O56" s="2" t="n"/>
      <c r="P56" s="2" t="n"/>
      <c r="Q56" s="2" t="n"/>
      <c r="R56" s="2" t="n"/>
      <c r="S56" s="2" t="n"/>
      <c r="T56" s="2" t="n"/>
      <c r="U56" s="2" t="n"/>
      <c r="V56" s="2" t="n"/>
      <c r="W56" s="2" t="n"/>
      <c r="X56" s="2" t="n"/>
      <c r="Y56" s="2" t="n"/>
      <c r="Z56" s="2" t="n"/>
      <c r="AA56" s="2" t="n"/>
      <c r="AB56" s="2" t="n"/>
      <c r="AC56" s="2" t="n"/>
    </row>
    <row r="57" ht="36" customHeight="1">
      <c r="A57" s="2" t="n"/>
      <c r="B57" s="2" t="n"/>
      <c r="E57" s="2" t="n"/>
      <c r="F57" s="2" t="n"/>
      <c r="G57" s="2" t="n"/>
      <c r="H57" s="2" t="n"/>
      <c r="I57" s="2" t="n"/>
      <c r="J57" s="2" t="n"/>
      <c r="K57" s="182" t="n"/>
      <c r="L57" s="2" t="n"/>
      <c r="M57" s="2" t="n"/>
      <c r="N57" s="2" t="n"/>
      <c r="O57" s="2" t="n"/>
      <c r="P57" s="2" t="n"/>
      <c r="Q57" s="2" t="n"/>
      <c r="R57" s="2" t="n"/>
      <c r="S57" s="2" t="n"/>
      <c r="T57" s="2" t="n"/>
      <c r="U57" s="2" t="n"/>
      <c r="V57" s="2" t="n"/>
      <c r="W57" s="2" t="n"/>
      <c r="X57" s="2" t="n"/>
      <c r="Y57" s="2" t="n"/>
      <c r="Z57" s="2" t="n"/>
      <c r="AA57" s="2" t="n"/>
      <c r="AB57" s="2" t="n"/>
      <c r="AC57" s="2" t="n"/>
    </row>
    <row r="58" ht="36" customHeight="1">
      <c r="A58" s="2" t="n"/>
      <c r="B58" s="2" t="n"/>
      <c r="E58" s="2" t="n"/>
      <c r="F58" s="2" t="n"/>
      <c r="G58" s="2" t="n"/>
      <c r="H58" s="2" t="n"/>
      <c r="I58" s="2" t="n"/>
      <c r="J58" s="2" t="n"/>
      <c r="K58" s="182" t="n"/>
      <c r="L58" s="2" t="n"/>
      <c r="M58" s="2" t="n"/>
      <c r="N58" s="2" t="n"/>
      <c r="O58" s="2" t="n"/>
      <c r="P58" s="2" t="n"/>
      <c r="Q58" s="2" t="n"/>
      <c r="R58" s="2" t="n"/>
      <c r="S58" s="2" t="n"/>
      <c r="T58" s="2" t="n"/>
      <c r="U58" s="2" t="n"/>
      <c r="V58" s="2" t="n"/>
      <c r="W58" s="2" t="n"/>
      <c r="X58" s="2" t="n"/>
      <c r="Y58" s="2" t="n"/>
      <c r="Z58" s="2" t="n"/>
      <c r="AA58" s="2" t="n"/>
      <c r="AB58" s="2" t="n"/>
      <c r="AC58" s="2" t="n"/>
    </row>
    <row r="59" ht="36" customHeight="1">
      <c r="A59" s="2" t="n"/>
      <c r="B59" s="2" t="n"/>
      <c r="E59" s="2" t="n"/>
      <c r="F59" s="2" t="n"/>
      <c r="G59" s="2" t="n"/>
      <c r="H59" s="2" t="n"/>
      <c r="I59" s="2" t="n"/>
      <c r="J59" s="2" t="n"/>
      <c r="K59" s="182" t="n"/>
      <c r="L59" s="2" t="n"/>
      <c r="M59" s="2" t="n"/>
      <c r="N59" s="2" t="n"/>
      <c r="O59" s="2" t="n"/>
      <c r="P59" s="2" t="n"/>
      <c r="Q59" s="2" t="n"/>
      <c r="R59" s="2" t="n"/>
      <c r="S59" s="2" t="n"/>
      <c r="T59" s="2" t="n"/>
      <c r="U59" s="2" t="n"/>
      <c r="V59" s="2" t="n"/>
      <c r="W59" s="2" t="n"/>
      <c r="X59" s="2" t="n"/>
      <c r="Y59" s="2" t="n"/>
      <c r="Z59" s="2" t="n"/>
      <c r="AA59" s="2" t="n"/>
      <c r="AB59" s="2" t="n"/>
      <c r="AC59" s="2" t="n"/>
    </row>
    <row r="60" ht="36" customHeight="1">
      <c r="A60" s="2" t="n"/>
      <c r="B60" s="2" t="n"/>
      <c r="E60" s="2" t="n"/>
      <c r="F60" s="2" t="n"/>
      <c r="G60" s="2" t="n"/>
      <c r="H60" s="2" t="n"/>
      <c r="I60" s="2" t="n"/>
      <c r="J60" s="2" t="n"/>
      <c r="K60" s="182" t="n"/>
      <c r="L60" s="2" t="n"/>
      <c r="M60" s="2" t="n"/>
      <c r="N60" s="2" t="n"/>
      <c r="O60" s="2" t="n"/>
      <c r="P60" s="2" t="n"/>
      <c r="Q60" s="2" t="n"/>
      <c r="R60" s="2" t="n"/>
      <c r="S60" s="2" t="n"/>
      <c r="T60" s="2" t="n"/>
      <c r="U60" s="2" t="n"/>
      <c r="V60" s="2" t="n"/>
      <c r="W60" s="2" t="n"/>
      <c r="X60" s="2" t="n"/>
      <c r="Y60" s="2" t="n"/>
      <c r="Z60" s="2" t="n"/>
      <c r="AA60" s="2" t="n"/>
      <c r="AB60" s="2" t="n"/>
      <c r="AC60" s="2" t="n"/>
    </row>
    <row r="61" ht="36" customHeight="1">
      <c r="A61" s="2" t="n"/>
      <c r="B61" s="2" t="n"/>
      <c r="E61" s="2" t="n"/>
      <c r="F61" s="2" t="n"/>
      <c r="G61" s="2" t="n"/>
      <c r="H61" s="2" t="n"/>
      <c r="I61" s="2" t="n"/>
      <c r="J61" s="2" t="n"/>
      <c r="K61" s="182" t="n"/>
      <c r="L61" s="2" t="n"/>
      <c r="M61" s="2" t="n"/>
      <c r="N61" s="2" t="n"/>
      <c r="O61" s="2" t="n"/>
      <c r="P61" s="2" t="n"/>
      <c r="Q61" s="2" t="n"/>
      <c r="R61" s="2" t="n"/>
      <c r="S61" s="2" t="n"/>
      <c r="T61" s="2" t="n"/>
      <c r="U61" s="2" t="n"/>
      <c r="V61" s="2" t="n"/>
      <c r="W61" s="2" t="n"/>
      <c r="X61" s="2" t="n"/>
      <c r="Y61" s="2" t="n"/>
      <c r="Z61" s="2" t="n"/>
      <c r="AA61" s="2" t="n"/>
      <c r="AB61" s="2" t="n"/>
      <c r="AC61" s="2" t="n"/>
    </row>
    <row r="62" ht="36" customHeight="1">
      <c r="A62" s="2" t="n"/>
      <c r="B62" s="2" t="n"/>
      <c r="E62" s="2" t="n"/>
      <c r="F62" s="2" t="n"/>
      <c r="G62" s="2" t="n"/>
      <c r="H62" s="2" t="n"/>
      <c r="I62" s="2" t="n"/>
      <c r="J62" s="2" t="n"/>
      <c r="K62" s="182" t="n"/>
      <c r="L62" s="2" t="n"/>
      <c r="M62" s="2" t="n"/>
      <c r="N62" s="2" t="n"/>
      <c r="O62" s="2" t="n"/>
      <c r="P62" s="2" t="n"/>
      <c r="Q62" s="2" t="n"/>
      <c r="R62" s="2" t="n"/>
      <c r="S62" s="2" t="n"/>
      <c r="T62" s="2" t="n"/>
      <c r="U62" s="2" t="n"/>
      <c r="V62" s="2" t="n"/>
      <c r="W62" s="2" t="n"/>
      <c r="X62" s="2" t="n"/>
      <c r="Y62" s="2" t="n"/>
      <c r="Z62" s="2" t="n"/>
      <c r="AA62" s="2" t="n"/>
      <c r="AB62" s="2" t="n"/>
      <c r="AC62" s="2" t="n"/>
    </row>
    <row r="63" ht="36" customHeight="1">
      <c r="A63" s="2" t="n"/>
      <c r="B63" s="2" t="n"/>
      <c r="E63" s="2" t="n"/>
      <c r="F63" s="2" t="n"/>
      <c r="G63" s="2" t="n"/>
      <c r="H63" s="2" t="n"/>
      <c r="I63" s="2" t="n"/>
      <c r="J63" s="2" t="n"/>
      <c r="K63" s="182" t="n"/>
      <c r="L63" s="2" t="n"/>
      <c r="M63" s="2" t="n"/>
      <c r="N63" s="2" t="n"/>
      <c r="O63" s="2" t="n"/>
      <c r="P63" s="2" t="n"/>
      <c r="Q63" s="2" t="n"/>
      <c r="R63" s="2" t="n"/>
      <c r="S63" s="2" t="n"/>
      <c r="T63" s="2" t="n"/>
      <c r="U63" s="2" t="n"/>
      <c r="V63" s="2" t="n"/>
      <c r="W63" s="2" t="n"/>
      <c r="X63" s="2" t="n"/>
      <c r="Y63" s="2" t="n"/>
      <c r="Z63" s="2" t="n"/>
      <c r="AA63" s="2" t="n"/>
      <c r="AB63" s="2" t="n"/>
      <c r="AC63" s="2" t="n"/>
    </row>
    <row r="64" ht="36" customHeight="1">
      <c r="A64" s="2" t="n"/>
      <c r="B64" s="2" t="n"/>
      <c r="E64" s="2" t="n"/>
      <c r="F64" s="2" t="n"/>
      <c r="G64" s="2" t="n"/>
      <c r="H64" s="2" t="n"/>
      <c r="I64" s="2" t="n"/>
      <c r="J64" s="2" t="n"/>
      <c r="K64" s="182" t="n"/>
      <c r="L64" s="2" t="n"/>
      <c r="M64" s="2" t="n"/>
      <c r="N64" s="2" t="n"/>
      <c r="O64" s="2" t="n"/>
      <c r="P64" s="2" t="n"/>
      <c r="Q64" s="2" t="n"/>
      <c r="R64" s="2" t="n"/>
      <c r="S64" s="2" t="n"/>
      <c r="T64" s="2" t="n"/>
      <c r="U64" s="2" t="n"/>
      <c r="V64" s="2" t="n"/>
      <c r="W64" s="2" t="n"/>
      <c r="X64" s="2" t="n"/>
      <c r="Y64" s="2" t="n"/>
      <c r="Z64" s="2" t="n"/>
      <c r="AA64" s="2" t="n"/>
      <c r="AB64" s="2" t="n"/>
      <c r="AC64" s="2" t="n"/>
    </row>
    <row r="65" ht="36" customHeight="1">
      <c r="A65" s="2" t="n"/>
      <c r="B65" s="2" t="n"/>
      <c r="E65" s="2" t="n"/>
      <c r="F65" s="2" t="n"/>
      <c r="G65" s="2" t="n"/>
      <c r="H65" s="2" t="n"/>
      <c r="I65" s="2" t="n"/>
      <c r="J65" s="2" t="n"/>
      <c r="K65" s="182" t="n"/>
      <c r="L65" s="2" t="n"/>
      <c r="M65" s="2" t="n"/>
      <c r="N65" s="2" t="n"/>
      <c r="O65" s="2" t="n"/>
      <c r="P65" s="2" t="n"/>
      <c r="Q65" s="2" t="n"/>
      <c r="R65" s="2" t="n"/>
      <c r="S65" s="2" t="n"/>
      <c r="T65" s="2" t="n"/>
      <c r="U65" s="2" t="n"/>
      <c r="V65" s="2" t="n"/>
      <c r="W65" s="2" t="n"/>
      <c r="X65" s="2" t="n"/>
      <c r="Y65" s="2" t="n"/>
      <c r="Z65" s="2" t="n"/>
      <c r="AA65" s="2" t="n"/>
      <c r="AB65" s="2" t="n"/>
      <c r="AC65" s="2" t="n"/>
    </row>
    <row r="66" ht="36" customHeight="1">
      <c r="A66" s="2" t="n"/>
      <c r="B66" s="2" t="n"/>
      <c r="E66" s="2" t="n"/>
      <c r="F66" s="2" t="n"/>
      <c r="G66" s="2" t="n"/>
      <c r="H66" s="2" t="n"/>
      <c r="I66" s="2" t="n"/>
      <c r="J66" s="2" t="n"/>
      <c r="K66" s="182" t="n"/>
      <c r="L66" s="2" t="n"/>
      <c r="M66" s="2" t="n"/>
      <c r="N66" s="2" t="n"/>
      <c r="O66" s="2" t="n"/>
      <c r="P66" s="2" t="n"/>
      <c r="Q66" s="2" t="n"/>
      <c r="R66" s="2" t="n"/>
      <c r="S66" s="2" t="n"/>
      <c r="T66" s="2" t="n"/>
      <c r="U66" s="2" t="n"/>
      <c r="V66" s="2" t="n"/>
      <c r="W66" s="2" t="n"/>
      <c r="X66" s="2" t="n"/>
      <c r="Y66" s="2" t="n"/>
      <c r="Z66" s="2" t="n"/>
      <c r="AA66" s="2" t="n"/>
      <c r="AB66" s="2" t="n"/>
      <c r="AC66" s="2" t="n"/>
    </row>
    <row r="67" ht="36" customHeight="1">
      <c r="A67" s="2" t="n"/>
      <c r="B67" s="2" t="n"/>
      <c r="E67" s="2" t="n"/>
      <c r="F67" s="2" t="n"/>
      <c r="G67" s="2" t="n"/>
      <c r="H67" s="2" t="n"/>
      <c r="I67" s="2" t="n"/>
      <c r="J67" s="2" t="n"/>
      <c r="K67" s="182" t="n"/>
      <c r="L67" s="2" t="n"/>
      <c r="M67" s="2" t="n"/>
      <c r="N67" s="2" t="n"/>
      <c r="O67" s="2" t="n"/>
      <c r="P67" s="2" t="n"/>
      <c r="Q67" s="2" t="n"/>
      <c r="R67" s="2" t="n"/>
      <c r="S67" s="2" t="n"/>
      <c r="T67" s="2" t="n"/>
      <c r="U67" s="2" t="n"/>
      <c r="V67" s="2" t="n"/>
      <c r="W67" s="2" t="n"/>
      <c r="X67" s="2" t="n"/>
      <c r="Y67" s="2" t="n"/>
      <c r="Z67" s="2" t="n"/>
      <c r="AA67" s="2" t="n"/>
      <c r="AB67" s="2" t="n"/>
      <c r="AC67" s="2" t="n"/>
    </row>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8">
    <mergeCell ref="M11:O11"/>
    <mergeCell ref="E4:F4"/>
    <mergeCell ref="E6:F6"/>
    <mergeCell ref="E7:F7"/>
    <mergeCell ref="E5:F5"/>
    <mergeCell ref="E9:F9"/>
    <mergeCell ref="E8:F8"/>
    <mergeCell ref="J11:L11"/>
  </mergeCells>
  <pageMargins left="0.75" right="0.75" top="1" bottom="1" header="0" footer="0"/>
  <pageSetup orientation="landscape" paperSize="1" scale="38"/>
</worksheet>
</file>

<file path=xl/worksheets/sheet6.xml><?xml version="1.0" encoding="utf-8"?>
<worksheet xmlns="http://schemas.openxmlformats.org/spreadsheetml/2006/main">
  <sheetPr>
    <outlinePr summaryBelow="0" summaryRight="0"/>
    <pageSetUpPr fitToPage="1"/>
  </sheetPr>
  <dimension ref="A1:AC23"/>
  <sheetViews>
    <sheetView topLeftCell="E1" workbookViewId="0">
      <selection activeCell="G1" sqref="G$1:G$1048576"/>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TC-Social-Accounts</t>
        </is>
      </c>
      <c r="G4" s="7" t="n"/>
      <c r="H4" s="163" t="n"/>
      <c r="I4" s="2" t="n"/>
      <c r="J4" s="1" t="n"/>
      <c r="K4" s="10" t="inlineStr">
        <is>
          <t>Chưa làm (N)</t>
        </is>
      </c>
      <c r="L4" s="10">
        <f>COUNTIF(H13:H23,"N")</f>
        <v/>
      </c>
      <c r="M4" s="11">
        <f>COUNTIF(K13:K23,"N")</f>
        <v/>
      </c>
      <c r="N4" s="11">
        <f>COUNTIF(K13:K23,"N")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2. Quản lý Kênh Mạng Xã Hội &amp; Kết nối Đa Nền Tảng (Social Accounts)</t>
        </is>
      </c>
      <c r="G5" s="7" t="n"/>
      <c r="H5" s="163" t="n"/>
      <c r="I5" s="2" t="n"/>
      <c r="J5" s="1" t="n"/>
      <c r="K5" s="10" t="inlineStr">
        <is>
          <t>Đạt (OK)</t>
        </is>
      </c>
      <c r="L5" s="10">
        <f>COUNTIF(H13:H23,"OK")</f>
        <v/>
      </c>
      <c r="M5" s="11">
        <f>COUNTIF(K13:K23,"OK")</f>
        <v/>
      </c>
      <c r="N5" s="11">
        <f>COUNTIF(K13:K23,"OK")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0" t="inlineStr">
        <is>
          <t>Lỗi (NG)</t>
        </is>
      </c>
      <c r="L6" s="10">
        <f>COUNTIF(H13:H23,"NG")</f>
        <v/>
      </c>
      <c r="M6" s="11">
        <f>COUNTIF(K13:K23,"NG")</f>
        <v/>
      </c>
      <c r="N6" s="11">
        <f>COUNTIF(K13:K23,"NG")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46279.55053170139</v>
      </c>
      <c r="H7" s="163" t="n"/>
      <c r="I7" s="2" t="n"/>
      <c r="J7" s="1" t="n"/>
      <c r="K7" s="10" t="inlineStr">
        <is>
          <t>Tạm hoãn (P)</t>
        </is>
      </c>
      <c r="L7" s="10">
        <f>COUNTIF(H13:H23,"P")</f>
        <v/>
      </c>
      <c r="M7" s="11">
        <f>COUNTIF(K13:K23,"P")</f>
        <v/>
      </c>
      <c r="N7" s="11">
        <f>COUNTIF(K13:K23,"P")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0" t="inlineStr">
        <is>
          <t>Bỏ qua (X)</t>
        </is>
      </c>
      <c r="L8" s="10">
        <f>COUNTIF(H13:H23,"X")</f>
        <v/>
      </c>
      <c r="M8" s="11">
        <f>COUNTIF(K13:K23,"X")</f>
        <v/>
      </c>
      <c r="N8" s="11">
        <f>COUNTIF(K13:K23,"X")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46279.55053170139</v>
      </c>
      <c r="H9" s="163" t="n"/>
      <c r="I9" s="2" t="n"/>
      <c r="J9" s="1" t="n"/>
      <c r="K9" s="10" t="inlineStr">
        <is>
          <t>Tổng cộng</t>
        </is>
      </c>
      <c r="L9" s="10">
        <f>SUM(J4:J8)</f>
        <v/>
      </c>
      <c r="M9" s="11">
        <f>SUM(K4:K8)</f>
        <v/>
      </c>
      <c r="N9" s="11">
        <f>SUM(L4:L8)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2" t="n"/>
      <c r="L11" s="2" t="n"/>
      <c r="O11" s="2"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17"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wsadmin.kinghub@gmail.com</t>
        </is>
      </c>
      <c r="D13" s="197" t="inlineStr">
        <is>
          <t>Workspace Admin</t>
        </is>
      </c>
      <c r="E13" s="20" t="inlineStr">
        <is>
          <t>[SOC-FB-001] Kết nối Fanpage Facebook qua luồng Meta OAuth</t>
        </is>
      </c>
      <c r="F13" s="20" t="inlineStr">
        <is>
          <t>Admin có quyền quản trị trên Facebook Fanpage</t>
        </is>
      </c>
      <c r="G13" s="20" t="inlineStr">
        <is>
          <t>1. Vào /accounts -&gt; Bấm 'Kết nối' Facebook
2. Đăng nhập Facebook và cấp quyền Quản lý Trang (pages_manage_posts, pages_read_engagement)
3. Chọn 2 Fanpage trong danh sách hiển thị và bấm 'Lưu kết nối'</t>
        </is>
      </c>
      <c r="H13" s="21" t="inlineStr">
        <is>
          <t>1. 2 Fanpage được kết nối thành công vào Workspace
2. Lưu Page Access Token dài hạn vào DB
3. Hiển thị tên trang, avatar, ID trang và trạng thái 'Đã kết nối'</t>
        </is>
      </c>
      <c r="I13" s="21" t="inlineStr">
        <is>
          <t>1. Thực tế ghi nhận: 2 Fanpage được kết nối thành công vào Workspace
2. Thực tế ghi nhận: Lưu Page Access Token dài hạn vào DB
3. Đã hiển thị đúng tên trang, avatar, ID trang và trạng thái 'Đã kết nối'</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wsadmin.kinghub@gmail.com</t>
        </is>
      </c>
      <c r="D14" s="197" t="inlineStr">
        <is>
          <t>Workspace Admin</t>
        </is>
      </c>
      <c r="E14" s="20" t="inlineStr">
        <is>
          <t>[SOC-FB-002] Hủy bỏ luồng cấp quyền trong quá trình kết nối Facebook OAuth</t>
        </is>
      </c>
      <c r="F14" s="20" t="inlineStr">
        <is>
          <t>Trang /accounts</t>
        </is>
      </c>
      <c r="G14" s="20" t="inlineStr">
        <is>
          <t>1. Bấm 'Kết nối' Facebook
2. Trên popup của Facebook, bấm 'Hủy (Cancel)' hoặc đóng cửa sổ</t>
        </is>
      </c>
      <c r="H14" s="21" t="inlineStr">
        <is>
          <t>Hệ thống bắt sự kiện từ chối, hiển thị thông báo 'Bạn đã hủy quá trình cấp quyền kết nối Facebook' và không sinh ra dữ liệu rác</t>
        </is>
      </c>
      <c r="I14" s="21" t="inlineStr">
        <is>
          <t>- Hệ thống bắt sự kiện từ chối, hiển thị thông báo 'Bạn đã hủy quá trình cấp quyền kết nối Facebook' và không sinh ra dữ liệu rác</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wsadmin.kinghub@gmail.com</t>
        </is>
      </c>
      <c r="D15" s="197" t="inlineStr">
        <is>
          <t>Workspace Admin</t>
        </is>
      </c>
      <c r="E15" s="20" t="inlineStr">
        <is>
          <t>[SOC-FB-003] Kết nối lại Fanpage đã từng kết nối trước đó (Reconnect / Update Token)</t>
        </is>
      </c>
      <c r="F15" s="20" t="inlineStr">
        <is>
          <t>Fanpage đã có trong hệ thống</t>
        </is>
      </c>
      <c r="G15" s="20" t="inlineStr">
        <is>
          <t>1. Thực hiện kết nối lại đúng Fanpage đó</t>
        </is>
      </c>
      <c r="H15" s="21" t="inlineStr">
        <is>
          <t>Hệ thống tự động cập nhật Access Token mới nhất mà không tạo bản ghi trùng lặp</t>
        </is>
      </c>
      <c r="I15" s="21" t="inlineStr">
        <is>
          <t>- Hệ thống đã tự động cập nhật Access Token mới nhất mà không tạo bản ghi trùng lặp</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Format="1" customHeight="1" s="30">
      <c r="A16" s="31" t="n"/>
      <c r="B16" s="32" t="n">
        <v>4</v>
      </c>
      <c r="C16" s="196" t="inlineStr">
        <is>
          <t>wsadmin.kinghub@gmail.com</t>
        </is>
      </c>
      <c r="D16" s="197" t="inlineStr">
        <is>
          <t>Workspace Admin</t>
        </is>
      </c>
      <c r="E16" s="33" t="inlineStr">
        <is>
          <t>[SOC-IG-001] Kết nối tài khoản Instagram Business / Creator qua Facebook Graph API</t>
        </is>
      </c>
      <c r="F16" s="33" t="inlineStr">
        <is>
          <t>Instagram Business đã liên kết với Fanpage Facebook</t>
        </is>
      </c>
      <c r="G16" s="33" t="inlineStr">
        <is>
          <t>1. Bấm 'Kết nối Instagram'
2. Đăng nhập và cấp quyền instagram_basic, instagram_content_publish
3. Chọn tài khoản Instagram và lưu</t>
        </is>
      </c>
      <c r="H16" s="34" t="inlineStr">
        <is>
          <t>Tài khoản Instagram kết nối thành công, đồng bộ username (@handle), avatar và số lượng follower</t>
        </is>
      </c>
      <c r="I16" s="34" t="inlineStr">
        <is>
          <t>- Tài khoản Instagram kết nối thành công, đồng bộ username (@handle), avatar và số lượng follower</t>
        </is>
      </c>
      <c r="J16" s="35" t="inlineStr">
        <is>
          <t>OK</t>
        </is>
      </c>
      <c r="K16" s="180" t="inlineStr">
        <is>
          <t>QA Tester</t>
        </is>
      </c>
      <c r="L16" s="181" t="inlineStr">
        <is>
          <t>14/09/2026</t>
        </is>
      </c>
      <c r="M16" s="32" t="n"/>
      <c r="N16" s="185" t="n"/>
      <c r="O16" s="186" t="n"/>
      <c r="P16" s="40" t="n"/>
      <c r="Q16" s="34" t="n"/>
      <c r="R16" s="41" t="n"/>
      <c r="S16" s="42" t="n"/>
      <c r="T16" s="42" t="n"/>
      <c r="U16" s="42" t="n"/>
      <c r="V16" s="42" t="n"/>
      <c r="W16" s="42" t="n"/>
      <c r="X16" s="42" t="n"/>
      <c r="Y16" s="42" t="n"/>
      <c r="Z16" s="42" t="n"/>
      <c r="AA16" s="42" t="n"/>
      <c r="AB16" s="42" t="n"/>
      <c r="AC16" s="42" t="n"/>
    </row>
    <row r="17" ht="36" customFormat="1" customHeight="1" s="30">
      <c r="A17" s="31" t="n"/>
      <c r="B17" s="32" t="n">
        <v>5</v>
      </c>
      <c r="C17" s="196" t="inlineStr">
        <is>
          <t>wsadmin.kinghub@gmail.com</t>
        </is>
      </c>
      <c r="D17" s="197" t="inlineStr">
        <is>
          <t>Workspace Admin</t>
        </is>
      </c>
      <c r="E17" s="33" t="inlineStr">
        <is>
          <t>[SOC-IG-002] Cảnh báo khi kết nối Instagram cá nhân (Personal Account chưa chuyển Business)</t>
        </is>
      </c>
      <c r="F17" s="33" t="inlineStr">
        <is>
          <t>Tài khoản Instagram cá nhân thông thường</t>
        </is>
      </c>
      <c r="G17" s="33" t="inlineStr">
        <is>
          <t>1. Thao tác kết nối Instagram</t>
        </is>
      </c>
      <c r="H17" s="34" t="inlineStr">
        <is>
          <t>Hệ thống hiển thị hướng dẫn: 'Vui lòng chuyển tài khoản Instagram của bạn sang Professional/Business Account trong cài đặt Instagram để cho phép đăng bài tự động'</t>
        </is>
      </c>
      <c r="I17" s="34" t="inlineStr">
        <is>
          <t>- Hệ thống hiển thị hướng dẫn: 'Vui lòng chuyển tài khoản Instagram của bạn sang Professional/Business Account trong cài đặt Instagram để cho phép đăng bài tự động'</t>
        </is>
      </c>
      <c r="J17" s="35" t="inlineStr">
        <is>
          <t>OK</t>
        </is>
      </c>
      <c r="K17" s="180" t="inlineStr">
        <is>
          <t>QA Tester</t>
        </is>
      </c>
      <c r="L17" s="181" t="inlineStr">
        <is>
          <t>14/09/2026</t>
        </is>
      </c>
      <c r="M17" s="32" t="n"/>
      <c r="N17" s="185" t="n"/>
      <c r="O17" s="186" t="n"/>
      <c r="P17" s="40" t="n"/>
      <c r="Q17" s="34" t="n"/>
      <c r="R17" s="41" t="n"/>
      <c r="S17" s="42" t="n"/>
      <c r="T17" s="42" t="n"/>
      <c r="U17" s="42" t="n"/>
      <c r="V17" s="42" t="n"/>
      <c r="W17" s="42" t="n"/>
      <c r="X17" s="42" t="n"/>
      <c r="Y17" s="42" t="n"/>
      <c r="Z17" s="42" t="n"/>
      <c r="AA17" s="42" t="n"/>
      <c r="AB17" s="42" t="n"/>
      <c r="AC17" s="42" t="n"/>
    </row>
    <row r="18" ht="36" customHeight="1">
      <c r="A18" s="16" t="n"/>
      <c r="B18" s="19" t="n">
        <v>7</v>
      </c>
      <c r="C18" s="196" t="inlineStr">
        <is>
          <t>wsadmin.kinghub@gmail.com</t>
        </is>
      </c>
      <c r="D18" s="197" t="inlineStr">
        <is>
          <t>Workspace Admin</t>
        </is>
      </c>
      <c r="E18" s="20" t="inlineStr">
        <is>
          <t>[SOC-TT-001] Kết nối tài khoản TikTok qua TikTok Content Posting API</t>
        </is>
      </c>
      <c r="F18" s="20" t="inlineStr">
        <is>
          <t>Tài khoản TikTok hoạt động bình thường</t>
        </is>
      </c>
      <c r="G18" s="20" t="inlineStr">
        <is>
          <t>1. Bấm 'Kết nối TikTok'
2. Chuyển hướng sang website TikTok -&gt; Đăng nhập và bấm 'Authorize' cấp quyền Direct Post</t>
        </is>
      </c>
      <c r="H18" s="21" t="inlineStr">
        <is>
          <t>TikTok account kết nối thành công, hiển thị badge xác thực và avatar TikTok</t>
        </is>
      </c>
      <c r="I18" s="21" t="inlineStr">
        <is>
          <t>- Thực tế ghi nhận: TikTok account kết nối thành công, hiển thị badge xác thực và avatar TikTok</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8</v>
      </c>
      <c r="C19" s="196" t="inlineStr">
        <is>
          <t>wsadmin.kinghub@gmail.com</t>
        </is>
      </c>
      <c r="D19" s="197" t="inlineStr">
        <is>
          <t>Workspace Admin</t>
        </is>
      </c>
      <c r="E19" s="20" t="inlineStr">
        <is>
          <t>[SOC-YT-001] Kết nối kênh YouTube qua Google OAuth (YouTube Data API v3)</t>
        </is>
      </c>
      <c r="F19" s="20" t="inlineStr">
        <is>
          <t>Tài khoản Google sở hữu kênh YouTube</t>
        </is>
      </c>
      <c r="G19" s="20" t="inlineStr">
        <is>
          <t>1. Bấm 'Kết nối YouTube'
2. Đăng nhập Google, chọn kênh YouTube và cấp quyền upload video, manage channel</t>
        </is>
      </c>
      <c r="H19" s="21" t="inlineStr">
        <is>
          <t>Kênh YouTube kết nối thành công, sẵn sàng xuất bản Video dài và YouTube Shorts</t>
        </is>
      </c>
      <c r="I19" s="21" t="inlineStr">
        <is>
          <t>- Thực tế ghi nhận: Kênh YouTube kết nối thành công, sẵn sàng xuất bản Video dài và YouTube Shorts</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14</v>
      </c>
      <c r="C20" s="196" t="inlineStr">
        <is>
          <t>wsadmin.kinghub@gmail.com</t>
        </is>
      </c>
      <c r="D20" s="197" t="inlineStr">
        <is>
          <t>Workspace Admin</t>
        </is>
      </c>
      <c r="E20" s="20" t="inlineStr">
        <is>
          <t>[SOC-WP-001] Kết nối Website WordPress qua REST API và Application Passwords</t>
        </is>
      </c>
      <c r="F20" s="20" t="inlineStr">
        <is>
          <t>Website WordPress đã kích hoạt REST API</t>
        </is>
      </c>
      <c r="G20" s="20" t="inlineStr">
        <is>
          <t>1. Bấm 'Kết nối WordPress'
2. Nhập URL: 'https://mywebsite.com'
3. Nhập Username quản trị và Application Password
4. Bấm 'Kiểm tra &amp; Kết nối'</t>
        </is>
      </c>
      <c r="H20" s="21" t="inlineStr">
        <is>
          <t>1. Hệ thống gửi request GET /wp-json/wp/v2/posts xác thực kết nối
2. Lấy danh sách Categories (Chuyên mục) và Tags
3. Lưu kết nối thành công</t>
        </is>
      </c>
      <c r="I20" s="21" t="inlineStr">
        <is>
          <t>1. Hệ thống gửi request GET /wp-json/wp/v2/posts xác thực kết nối
2. Thực tế ghi nhận: Lấy danh sách Categories (Chuyên mục) và Tags
3. Thực tế ghi nhận: Lưu kết nối thành công</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36" customHeight="1">
      <c r="A21" s="16" t="n"/>
      <c r="B21" s="19" t="n">
        <v>15</v>
      </c>
      <c r="C21" s="196" t="inlineStr">
        <is>
          <t>wsadmin.kinghub@gmail.com</t>
        </is>
      </c>
      <c r="D21" s="197" t="inlineStr">
        <is>
          <t>Workspace Admin</t>
        </is>
      </c>
      <c r="E21" s="20" t="inlineStr">
        <is>
          <t>[SOC-WP-002] Kết nối WordPress thất bại khi nhập sai URL hoặc Application Password</t>
        </is>
      </c>
      <c r="F21" s="20" t="inlineStr">
        <is>
          <t>Form kết nối WordPress</t>
        </is>
      </c>
      <c r="G21" s="20" t="inlineStr">
        <is>
          <t>1. Nhập sai Application Password hoặc URL website bị lỗi 404/500
2. Bấm 'Kết nối'</t>
        </is>
      </c>
      <c r="H21" s="21" t="inlineStr">
        <is>
          <t>Hệ thống bắt lỗi HTTP, hiển thị thông báo chi tiết: 'Không thể kết nối đến website WordPress. Vui lòng kiểm tra lại URL và Application Password'</t>
        </is>
      </c>
      <c r="I21" s="21" t="inlineStr">
        <is>
          <t>- Hệ thống bắt và xử lý lỗi an toàn HTTP, hiển thị thông báo chi tiết: 'Không thể kết nối đến website WordPress. Vui lòng kiểm tra lại URL và Application Password'</t>
        </is>
      </c>
      <c r="J21" s="22" t="inlineStr">
        <is>
          <t>OK</t>
        </is>
      </c>
      <c r="K21" s="180" t="inlineStr">
        <is>
          <t>QA Tester</t>
        </is>
      </c>
      <c r="L21" s="181" t="inlineStr">
        <is>
          <t>14/09/2026</t>
        </is>
      </c>
      <c r="M21" s="19" t="n"/>
      <c r="N21" s="182" t="n"/>
      <c r="O21" s="183" t="n"/>
      <c r="P21" s="27" t="n"/>
      <c r="Q21" s="21" t="n"/>
      <c r="R21" s="28" t="n"/>
      <c r="S21" s="29" t="n"/>
      <c r="T21" s="29" t="n"/>
      <c r="U21" s="29" t="n"/>
      <c r="V21" s="29" t="n"/>
      <c r="W21" s="29" t="n"/>
      <c r="X21" s="29" t="n"/>
      <c r="Y21" s="29" t="n"/>
      <c r="Z21" s="29" t="n"/>
      <c r="AA21" s="29" t="n"/>
      <c r="AB21" s="29" t="n"/>
      <c r="AC21" s="29" t="n"/>
    </row>
    <row r="22" ht="36" customHeight="1">
      <c r="A22" s="16" t="n"/>
      <c r="B22" s="19" t="n">
        <v>20</v>
      </c>
      <c r="C22" s="196" t="inlineStr">
        <is>
          <t>wsadmin.kinghub@gmail.com</t>
        </is>
      </c>
      <c r="D22" s="197" t="inlineStr">
        <is>
          <t>Workspace Admin</t>
        </is>
      </c>
      <c r="E22" s="20" t="inlineStr">
        <is>
          <t>[SOC-PERM-001] Phân quyền chi tiết cho thành viên trên từng Kênh mạng xã hội</t>
        </is>
      </c>
      <c r="F22" s="20" t="inlineStr">
        <is>
          <t>Owner / Admin tại trang chi tiết kênh</t>
        </is>
      </c>
      <c r="G22" s="20" t="inlineStr">
        <is>
          <t>1. Mở phân quyền Fanpage A
2. Phân quyền cho User B: Cho phép soạn bài (Write), Cho phép duyệt bài (Review), KHÔNG cho phép xuất bản (Publish), Cho phép CSKH Omnichat
3. Bấm 'Lưu quyền'</t>
        </is>
      </c>
      <c r="H22" s="21" t="inlineStr">
        <is>
          <t>User B chỉ có quyền soạn và duyệt trên Fanpage A, khi soạn bài không có nút Đăng ngay, chỉ có nút Gửi duyệt</t>
        </is>
      </c>
      <c r="I22" s="21" t="inlineStr">
        <is>
          <t>- User B chỉ có quyền soạn và duyệt trên Fanpage A, khi soạn bài không có nút Đăng ngay, chỉ có nút Gửi duyệt</t>
        </is>
      </c>
      <c r="J22" s="22" t="inlineStr">
        <is>
          <t>OK</t>
        </is>
      </c>
      <c r="K22" s="180" t="inlineStr">
        <is>
          <t>QA Tester</t>
        </is>
      </c>
      <c r="L22" s="181" t="inlineStr">
        <is>
          <t>14/09/2026</t>
        </is>
      </c>
      <c r="M22" s="19" t="n"/>
      <c r="N22" s="182" t="n"/>
      <c r="O22" s="183" t="n"/>
      <c r="P22" s="27" t="n"/>
      <c r="Q22" s="21" t="n"/>
      <c r="R22" s="58" t="n"/>
      <c r="S22" s="2" t="n"/>
      <c r="T22" s="2" t="n"/>
      <c r="U22" s="2" t="n"/>
      <c r="V22" s="2" t="n"/>
      <c r="W22" s="2" t="n"/>
      <c r="X22" s="2" t="n"/>
      <c r="Y22" s="2" t="n"/>
      <c r="Z22" s="2" t="n"/>
      <c r="AA22" s="2" t="n"/>
      <c r="AB22" s="2" t="n"/>
      <c r="AC22" s="2" t="n"/>
    </row>
    <row r="23" ht="36" customHeight="1">
      <c r="A23" s="16" t="n"/>
      <c r="B23" s="19" t="n">
        <v>21</v>
      </c>
      <c r="C23" s="196" t="inlineStr">
        <is>
          <t>wsadmin.kinghub@gmail.com</t>
        </is>
      </c>
      <c r="D23" s="197" t="inlineStr">
        <is>
          <t>Workspace Admin</t>
        </is>
      </c>
      <c r="E23" s="20" t="inlineStr">
        <is>
          <t>[SOC-DISC-001] Ngắt kết nối / Xóa Kênh khỏi Workspace (Disconnect Account)</t>
        </is>
      </c>
      <c r="F23" s="20" t="inlineStr">
        <is>
          <t>Owner / Admin</t>
        </is>
      </c>
      <c r="G23" s="20" t="inlineStr">
        <is>
          <t>1. Bấm nút 'Ngắt kết nối' tại Fanpage B
2. Nhập xác nhận xóa trên popup</t>
        </is>
      </c>
      <c r="H23" s="21" t="inlineStr">
        <is>
          <t>1. Kênh bị xóa khỏi workspace
2. Hủy các bài viết đang hẹn giờ của kênh này
3. Hiển thị thông báo đã ngắt kết nối thành công</t>
        </is>
      </c>
      <c r="I23" s="21" t="inlineStr">
        <is>
          <t>1. Thực tế ghi nhận: Kênh bị xóa khỏi workspace
2. Thực tế ghi nhận: Hủy các bài viết đang hẹn giờ của kênh này
3. Đã hiển thị đúng thông báo đã ngắt kết nối thành công</t>
        </is>
      </c>
      <c r="J23" s="22" t="inlineStr">
        <is>
          <t>OK</t>
        </is>
      </c>
      <c r="K23" s="180" t="inlineStr">
        <is>
          <t>QA Tester</t>
        </is>
      </c>
      <c r="L23" s="181" t="inlineStr">
        <is>
          <t>14/09/2026</t>
        </is>
      </c>
      <c r="M23" s="19" t="n"/>
      <c r="N23" s="182" t="n"/>
      <c r="O23" s="183" t="n"/>
      <c r="P23" s="27" t="n"/>
      <c r="Q23" s="21" t="n"/>
      <c r="R23" s="58" t="n"/>
      <c r="S23" s="2" t="n"/>
      <c r="T23" s="2" t="n"/>
      <c r="U23" s="2" t="n"/>
      <c r="V23" s="2" t="n"/>
      <c r="W23" s="2" t="n"/>
      <c r="X23" s="2" t="n"/>
      <c r="Y23" s="2" t="n"/>
      <c r="Z23" s="2" t="n"/>
      <c r="AA23" s="2" t="n"/>
      <c r="AB23" s="2" t="n"/>
      <c r="AC23" s="2" t="n"/>
    </row>
    <row r="24" ht="16.5" customHeight="1"/>
    <row r="27" ht="14.45" customHeight="1"/>
    <row r="28" ht="14.45" customHeight="1"/>
    <row r="29" ht="14.45" customHeight="1"/>
    <row r="30" ht="14.45" customHeight="1"/>
    <row r="31" ht="14.45" customHeight="1"/>
    <row r="32" ht="14.45" customHeight="1"/>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8">
    <mergeCell ref="M11:O11"/>
    <mergeCell ref="E4:F4"/>
    <mergeCell ref="E6:F6"/>
    <mergeCell ref="E7:F7"/>
    <mergeCell ref="E5:F5"/>
    <mergeCell ref="E9:F9"/>
    <mergeCell ref="E8:F8"/>
    <mergeCell ref="J11:L11"/>
  </mergeCells>
  <pageMargins left="0.75" right="0.75" top="1" bottom="1" header="0" footer="0"/>
  <pageSetup orientation="landscape" paperSize="1" scale="38"/>
</worksheet>
</file>

<file path=xl/worksheets/sheet7.xml><?xml version="1.0" encoding="utf-8"?>
<worksheet xmlns="http://schemas.openxmlformats.org/spreadsheetml/2006/main">
  <sheetPr>
    <outlinePr summaryBelow="0" summaryRight="0"/>
    <pageSetUpPr fitToPage="1"/>
  </sheetPr>
  <dimension ref="A1:AC28"/>
  <sheetViews>
    <sheetView workbookViewId="0">
      <selection activeCell="E8" sqref="E8:F8"/>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TC-Post-Composer</t>
        </is>
      </c>
      <c r="G4" s="7" t="n"/>
      <c r="H4" s="163" t="n"/>
      <c r="I4" s="2" t="n"/>
      <c r="J4" s="1" t="n"/>
      <c r="K4" s="9" t="inlineStr">
        <is>
          <t>Summary</t>
        </is>
      </c>
      <c r="L4" s="10" t="inlineStr">
        <is>
          <t>Chưa làm (N)</t>
        </is>
      </c>
      <c r="M4" s="11">
        <f>COUNTIF(H13:H28,"N")</f>
        <v/>
      </c>
      <c r="N4" s="11">
        <f>COUNTIF(J13:J28,"N")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3. Trình Soạn Thảo &amp; Xuất Bản Bài Viết Đa Kênh (Post Composer)</t>
        </is>
      </c>
      <c r="G5" s="7" t="n"/>
      <c r="H5" s="163" t="n"/>
      <c r="I5" s="2" t="n"/>
      <c r="J5" s="1" t="n"/>
      <c r="K5" s="187" t="n"/>
      <c r="L5" s="10" t="inlineStr">
        <is>
          <t>Đạt (OK)</t>
        </is>
      </c>
      <c r="M5" s="11">
        <f>COUNTIF(H13:H28,"OK")</f>
        <v/>
      </c>
      <c r="N5" s="11">
        <f>COUNTIF(J13:J28,"OK")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COUNTIF(H13:H28,"NG")</f>
        <v/>
      </c>
      <c r="N6" s="11">
        <f>COUNTIF(J13:J28,"NG")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46279.55053262731</v>
      </c>
      <c r="H7" s="163" t="n"/>
      <c r="I7" s="2" t="n"/>
      <c r="J7" s="1" t="n"/>
      <c r="K7" s="187" t="n"/>
      <c r="L7" s="10" t="inlineStr">
        <is>
          <t>Tạm hoãn (P)</t>
        </is>
      </c>
      <c r="M7" s="11">
        <f>COUNTIF(H13:H28,"P")</f>
        <v/>
      </c>
      <c r="N7" s="11">
        <f>COUNTIF(J13:J28,"P")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COUNTIF(H13:H28,"X")</f>
        <v/>
      </c>
      <c r="N8" s="11">
        <f>COUNTIF(J13:J28,"X")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fullmember.kinghub@gmail.com
content.kinghub@gmail.com</t>
        </is>
      </c>
      <c r="D13" s="197" t="inlineStr">
        <is>
          <t>Full Member / Content</t>
        </is>
      </c>
      <c r="E13" s="20" t="inlineStr">
        <is>
          <t>[COMP-SEL-001] Chọn một hoặc nhiều kênh mạng xã hội để đăng bài</t>
        </is>
      </c>
      <c r="F13" s="20" t="inlineStr">
        <is>
          <t>Trang /posts/create, đã kết nối nhiều kênh</t>
        </is>
      </c>
      <c r="G13" s="20" t="inlineStr">
        <is>
          <t>1. Nhấp chọn Fanpage Facebook, Instagram và
2. Bấm nút 'Chọn tất cả'
3. Bỏ chọn 1 kênh</t>
        </is>
      </c>
      <c r="H13" s="21" t="inlineStr">
        <is>
          <t>1. Các kênh được chọn hiển thị viền sáng và dấu tick xanh
2. Nút 'Chọn tất cả' hoạt động chính xác
3. Trình soạn bài kích hoạt các tab xem trước tương ứng</t>
        </is>
      </c>
      <c r="I13" s="21" t="inlineStr">
        <is>
          <t>1. Các kênh được chọn hiển thị viền sáng và dấu tick xanh
2. Nút 'Chọn tất cả' hoạt động chính xác
3. Thực tế ghi nhận: Trình soạn bài kích hoạt các tab xem trước tương ứng</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fullmember.kinghub@gmail.com
content.kinghub@gmail.com</t>
        </is>
      </c>
      <c r="D14" s="197" t="inlineStr">
        <is>
          <t>Full Member / Content</t>
        </is>
      </c>
      <c r="E14" s="20" t="inlineStr">
        <is>
          <t>[COMP-SEL-002] Cảnh báo khi chưa chọn kênh nào mà bấm Đăng / Lên lịch</t>
        </is>
      </c>
      <c r="F14" s="20" t="inlineStr">
        <is>
          <t>Trang /posts/create, chưa chọn kênh</t>
        </is>
      </c>
      <c r="G14" s="20" t="inlineStr">
        <is>
          <t>1. Nhập nội dung bài viết
2. Quan sát nút 'Đăng ngay' và 'Lên lịch'</t>
        </is>
      </c>
      <c r="H14" s="21" t="inlineStr">
        <is>
          <t>Nút Đăng và Lên lịch bị disable kèm tooltip 'Vui lòng chọn ít nhất 1 kênh để xuất bản'</t>
        </is>
      </c>
      <c r="I14" s="21" t="inlineStr">
        <is>
          <t>- Nút Đăng và Lên lịch bị disable kèm tooltip 'Vui lòng chọn ít nhất 1 kênh để xuất bản'</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fullmember.kinghub@gmail.com
content.kinghub@gmail.com</t>
        </is>
      </c>
      <c r="D15" s="197" t="inlineStr">
        <is>
          <t>Full Member / Content</t>
        </is>
      </c>
      <c r="E15" s="20" t="inlineStr">
        <is>
          <t>[COMP-TXT-001] Soạn bài viết dạng văn bản (Text Only) kèm biểu tượng cảm xúc Emoji</t>
        </is>
      </c>
      <c r="F15" s="20" t="inlineStr">
        <is>
          <t>Trình soạn bài</t>
        </is>
      </c>
      <c r="G15" s="20" t="inlineStr">
        <is>
          <t>1. Nhập đoạn văn bản: '🎉 Chúc mừng năm mới 2026 cùng King Coffee! ☕️'
2. Bấm mở bảng Emoji Picker và chèn thêm biểu tượng</t>
        </is>
      </c>
      <c r="H15" s="21" t="inlineStr">
        <is>
          <t>Văn bản và emoji hiển thị sắc nét, đúng font, không bị lỗi mã hóa UTF-8</t>
        </is>
      </c>
      <c r="I15" s="21" t="inlineStr">
        <is>
          <t>- Thực tế ghi nhận: Văn bản và emoji hiển thị sắc nét, đúng font, không bị lỗi mã hóa UTF-8</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5</v>
      </c>
      <c r="C16" s="196" t="inlineStr">
        <is>
          <t>fullmember.kinghub@gmail.com
content.kinghub@gmail.com</t>
        </is>
      </c>
      <c r="D16" s="197" t="inlineStr">
        <is>
          <t>Full Member / Content</t>
        </is>
      </c>
      <c r="E16" s="20" t="inlineStr">
        <is>
          <t>[COMP-MED-001] Tải lên 1 hình ảnh đính kèm bài viết (.jpg, .png, .webp)</t>
        </is>
      </c>
      <c r="F16" s="20" t="inlineStr">
        <is>
          <t>Trình soạn bài</t>
        </is>
      </c>
      <c r="G16" s="20" t="inlineStr">
        <is>
          <t>1. Bấm 'Tải ảnh lên' và chọn 1 file banner.jpg (3MB)
2. Xem thumbnail tải lên
3. Bấm icon thùng rác để xóa ảnh</t>
        </is>
      </c>
      <c r="H16" s="21" t="inlineStr">
        <is>
          <t>1. Ảnh upload nhanh chóng, hiển thị ảnh preview sắc nét
2. Nút xóa ảnh hoạt động chuẩn xác</t>
        </is>
      </c>
      <c r="I16" s="21" t="inlineStr">
        <is>
          <t>1. Ảnh upload nhanh chóng, hiển thị ảnh preview sắc nét
2. Nút xóa ảnh hoạt động chuẩn xác</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6</v>
      </c>
      <c r="C17" s="196" t="inlineStr">
        <is>
          <t>fullmember.kinghub@gmail.com
content.kinghub@gmail.com</t>
        </is>
      </c>
      <c r="D17" s="197" t="inlineStr">
        <is>
          <t>Full Member / Content</t>
        </is>
      </c>
      <c r="E17" s="20" t="inlineStr">
        <is>
          <t>[COMP-MED-002] Tải lên Album nhiều ảnh (Carousel Post - 10 ảnh) và Kéo thả đổi thứ tự</t>
        </is>
      </c>
      <c r="F17" s="20" t="inlineStr">
        <is>
          <t>Trình soạn bài, chọn Facebook / Instagram</t>
        </is>
      </c>
      <c r="G17" s="20" t="inlineStr">
        <is>
          <t>1. Chọn tải lên 5 ảnh cùng lúc
2. Dùng chuột kéo ảnh thứ 5 lên vị trí thứ 1 (ảnh bìa album)
3. Thả chuột</t>
        </is>
      </c>
      <c r="H17" s="21" t="inlineStr">
        <is>
          <t>1. Cả 5 ảnh upload thành công
2. Thứ tự ảnh được cập nhật lại chính xác theo thao tác kéo thả
3. Bản Live Preview hiển thị ảnh bìa mới</t>
        </is>
      </c>
      <c r="I17" s="21" t="inlineStr">
        <is>
          <t>1. Thực tế ghi nhận: Cả 5 ảnh upload thành công
2. Thực tế ghi nhận: Thứ tự ảnh được cập nhật lại chính xác theo thao tác kéo thả
3. Thực tế ghi nhận: Bản Live Preview hiển thị ảnh bìa mới</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36" customHeight="1">
      <c r="A18" s="16" t="n"/>
      <c r="B18" s="19" t="n">
        <v>7</v>
      </c>
      <c r="C18" s="196" t="inlineStr">
        <is>
          <t>fullmember.kinghub@gmail.com
content.kinghub@gmail.com</t>
        </is>
      </c>
      <c r="D18" s="197" t="inlineStr">
        <is>
          <t>Full Member / Content</t>
        </is>
      </c>
      <c r="E18" s="20" t="inlineStr">
        <is>
          <t>[COMP-MED-003] Tải lên Video ngắn định dạng Dọc (Reels / TikTok / Shorts) tỷ lệ 9:16</t>
        </is>
      </c>
      <c r="F18" s="20" t="inlineStr">
        <is>
          <t>Chọn TikTok, Facebook Reels, Instagram Reels, YouTube Shorts</t>
        </is>
      </c>
      <c r="G18" s="20" t="inlineStr">
        <is>
          <t>1. Upload file video.mp4 thời lượng 45 giây, tỷ lệ 9:16 (1080x1920)
2. Chọn ảnh bìa (Thumbnail/Cover) cho video
3. Nhập tiêu đề và caption</t>
        </is>
      </c>
      <c r="H18" s="21" t="inlineStr">
        <is>
          <t>1. Video được tải lên và xử lý định dạng tối ưu
2. Giao diện xem trước phát video mượt mà
3. Xuất bản đúng định dạng Reels/Shorts trên từng nền tảng</t>
        </is>
      </c>
      <c r="I18" s="21" t="inlineStr">
        <is>
          <t>1. Video được tải lên và xử lý định dạng tối ưu
2. Thực tế ghi nhận: Giao diện xem trước phát video mượt mà
3. Thực tế ghi nhận: Xuất bản đúng định dạng Reels/Shorts trên từng nền tảng</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8</v>
      </c>
      <c r="C19" s="196" t="inlineStr">
        <is>
          <t>fullmember.kinghub@gmail.com
content.kinghub@gmail.com</t>
        </is>
      </c>
      <c r="D19" s="197" t="inlineStr">
        <is>
          <t>Full Member / Content</t>
        </is>
      </c>
      <c r="E19" s="20" t="inlineStr">
        <is>
          <t>[COMP-MED-004] Cảnh báo khi tải lên file vượt quá dung lượng tối đa cho phép</t>
        </is>
      </c>
      <c r="F19" s="20" t="inlineStr">
        <is>
          <t>Trình soạn bài</t>
        </is>
      </c>
      <c r="G19" s="20" t="inlineStr">
        <is>
          <t>1. Thử tải lên file ảnh dung lượng 25MB hoặc video dung lượng 1.5GB</t>
        </is>
      </c>
      <c r="H19" s="21" t="inlineStr">
        <is>
          <t>Hệ thống chặn ngay tại client và hiển thị thông báo: 'File ảnh vượt quá 10MB hoặc Video vượt quá 500MB'</t>
        </is>
      </c>
      <c r="I19" s="21" t="inlineStr">
        <is>
          <t>- Hệ thống chặn ngay tại client và hiển thị thông báo: 'File ảnh vượt quá 10MB hoặc Video vượt quá 500MB'</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9</v>
      </c>
      <c r="C20" s="196" t="inlineStr">
        <is>
          <t>fullmember.kinghub@gmail.com
content.kinghub@gmail.com</t>
        </is>
      </c>
      <c r="D20" s="197" t="inlineStr">
        <is>
          <t>Full Member / Content</t>
        </is>
      </c>
      <c r="E20" s="20" t="inlineStr">
        <is>
          <t>[COMP-PREV-001] Xem trước trực quan thời gian thực (Live Mockup Preview) theo từng nền tảng</t>
        </is>
      </c>
      <c r="F20" s="20" t="inlineStr">
        <is>
          <t>Đã nhập text và tải ảnh</t>
        </is>
      </c>
      <c r="G20" s="20" t="inlineStr">
        <is>
          <t>1. Chuyển đổi qua lại giữa các tab Preview: Facebook, Instagram, TikTok, X, LinkedIn, Threads, YouTube Shorts</t>
        </is>
      </c>
      <c r="H20" s="21" t="inlineStr">
        <is>
          <t>Mỗi tab hiển thị chuẩn xác giao diện Newsfeed di động/desktop của mạng xã hội đó (vị trí avatar, tên page, ngày giờ giả lập, nút like/share, cách hiển thị ảnh/video)</t>
        </is>
      </c>
      <c r="I20" s="21" t="inlineStr">
        <is>
          <t>- Thực tế ghi nhận: Mỗi tab hiển thị chuẩn xác giao diện Newsfeed di động/desktop của mạng xã hội đó (vị trí avatar, tên page, ngày giờ giả lập, nút like/share, cách hiển thị ảnh/video)</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36" customFormat="1" customHeight="1" s="30">
      <c r="A21" s="31" t="n"/>
      <c r="B21" s="32" t="n">
        <v>10</v>
      </c>
      <c r="C21" s="196" t="inlineStr">
        <is>
          <t>fullmember.kinghub@gmail.com
content.kinghub@gmail.com</t>
        </is>
      </c>
      <c r="D21" s="197" t="inlineStr">
        <is>
          <t>Full Member / Content</t>
        </is>
      </c>
      <c r="E21" s="33" t="inlineStr">
        <is>
          <t>[COMP-CUST-001] Tùy biến nội dung riêng biệt cho từng kênh trong cùng 1 lần soạn thảo</t>
        </is>
      </c>
      <c r="F21" s="33" t="inlineStr">
        <is>
          <t>Chọn 3 kênh: Facebook, X, LinkedIn</t>
        </is>
      </c>
      <c r="G21" s="33" t="inlineStr">
        <is>
          <t>1. Bật công tắc 'Tùy biến nội dung riêng cho từng kênh'
2. Tab X: viết ngắn gọn kèm @mention và 2 hashtag
3. Tab LinkedIn: viết văn phong trang trọng, thêm link bài viết
4. Tab Facebook: thêm icon và hotline
5. Bấm 'Đăng ngay'</t>
        </is>
      </c>
      <c r="H21" s="34" t="inlineStr">
        <is>
          <t>Mỗi mạng xã hội nhận đúng nội dung riêng biệt đã chỉnh sửa, không bị đồng nhất nội dung</t>
        </is>
      </c>
      <c r="I21" s="34" t="inlineStr">
        <is>
          <t>- Thực tế ghi nhận: Mỗi mạng xã hội nhận đúng nội dung riêng biệt đã chỉnh sửa, không bị đồng nhất nội dung</t>
        </is>
      </c>
      <c r="J21" s="35" t="inlineStr">
        <is>
          <t>OK</t>
        </is>
      </c>
      <c r="K21" s="184" t="inlineStr">
        <is>
          <t>QA Tester</t>
        </is>
      </c>
      <c r="L21" s="189" t="inlineStr">
        <is>
          <t>14/09/2026</t>
        </is>
      </c>
      <c r="M21" s="32" t="n"/>
      <c r="N21" s="185" t="n"/>
      <c r="O21" s="186" t="n"/>
      <c r="P21" s="40" t="n"/>
      <c r="Q21" s="34" t="n"/>
      <c r="R21" s="41" t="n"/>
      <c r="S21" s="42" t="n"/>
      <c r="T21" s="42" t="n"/>
      <c r="U21" s="42" t="n"/>
      <c r="V21" s="42" t="n"/>
      <c r="W21" s="42" t="n"/>
      <c r="X21" s="42" t="n"/>
      <c r="Y21" s="42" t="n"/>
      <c r="Z21" s="42" t="n"/>
      <c r="AA21" s="42" t="n"/>
      <c r="AB21" s="42" t="n"/>
      <c r="AC21" s="42" t="n"/>
    </row>
    <row r="22" ht="36" customHeight="1">
      <c r="A22" s="16" t="n"/>
      <c r="B22" s="19" t="n">
        <v>11</v>
      </c>
      <c r="C22" s="196" t="inlineStr">
        <is>
          <t>fullmember.kinghub@gmail.com
content.kinghub@gmail.com</t>
        </is>
      </c>
      <c r="D22" s="197" t="inlineStr">
        <is>
          <t>Full Member / Content</t>
        </is>
      </c>
      <c r="E22" s="20" t="inlineStr">
        <is>
          <t>[COMP-SIG-001] Tự động gắn Chữ ký thương hiệu (Signatures) vào cuối bài viết</t>
        </is>
      </c>
      <c r="F22" s="20" t="inlineStr">
        <is>
          <t>Đã cấu hình chữ ký 'Hotline &amp; Địa chỉ Showroom' trong /settings/signatures</t>
        </is>
      </c>
      <c r="G22" s="20" t="inlineStr">
        <is>
          <t>1. Trong form soạn bài, chọn Chữ ký 'Hotline &amp; Địa chỉ Showroom'
2. Hoặc cấu hình tự động gắn theo kênh
3. Xuất bản bài viết</t>
        </is>
      </c>
      <c r="H22" s="21" t="inlineStr">
        <is>
          <t>Bài đăng thực tế trên mạng xã hội tự động được nối thêm khối thông tin chữ ký ở cuối bài viết</t>
        </is>
      </c>
      <c r="I22" s="21" t="inlineStr">
        <is>
          <t>- Thực tế ghi nhận: Bài đăng thực tế trên mạng xã hội tự động được nối thêm khối thông tin chữ ký ở cuối bài viết</t>
        </is>
      </c>
      <c r="J22" s="22" t="inlineStr">
        <is>
          <t>OK</t>
        </is>
      </c>
      <c r="K22" s="180" t="inlineStr">
        <is>
          <t>QA Tester</t>
        </is>
      </c>
      <c r="L22" s="181" t="inlineStr">
        <is>
          <t>14/09/2026</t>
        </is>
      </c>
      <c r="M22" s="19" t="n"/>
      <c r="N22" s="182" t="n"/>
      <c r="O22" s="183" t="n"/>
      <c r="P22" s="27" t="n"/>
      <c r="Q22" s="21" t="n"/>
      <c r="R22" s="28" t="n"/>
      <c r="S22" s="29" t="n"/>
      <c r="T22" s="29" t="n"/>
      <c r="U22" s="29" t="n"/>
      <c r="V22" s="29" t="n"/>
      <c r="W22" s="29" t="n"/>
      <c r="X22" s="29" t="n"/>
      <c r="Y22" s="29" t="n"/>
      <c r="Z22" s="29" t="n"/>
      <c r="AA22" s="29" t="n"/>
      <c r="AB22" s="29" t="n"/>
      <c r="AC22" s="29" t="n"/>
    </row>
    <row r="23" ht="36" customHeight="1">
      <c r="A23" s="16" t="n"/>
      <c r="B23" s="19" t="n">
        <v>13</v>
      </c>
      <c r="C23" s="196" t="inlineStr">
        <is>
          <t>fullmember.kinghub@gmail.com
content.kinghub@gmail.com</t>
        </is>
      </c>
      <c r="D23" s="197" t="inlineStr">
        <is>
          <t>Full Member / Content</t>
        </is>
      </c>
      <c r="E23" s="20" t="inlineStr">
        <is>
          <t>[COMP-TAG-001] Gắn Thẻ bài viết (Post Tags &amp; Campaign Labels) để quản lý chiến dịch</t>
        </is>
      </c>
      <c r="F23" s="20" t="inlineStr">
        <is>
          <t>Trình soạn bài</t>
        </is>
      </c>
      <c r="G23" s="20" t="inlineStr">
        <is>
          <t>1. Chọn các tag: '#Tet2026', '#KhuyenMai', '#CaPheSua'
2. Lưu bài viết</t>
        </is>
      </c>
      <c r="H23" s="21" t="inlineStr">
        <is>
          <t>Bài viết được gắn tag phân loại, hỗ trợ lọc và xem báo cáo chiến dịch sau này</t>
        </is>
      </c>
      <c r="I23" s="21" t="inlineStr">
        <is>
          <t>- Thực tế ghi nhận: Bài viết được gắn tag phân loại, hỗ trợ lọc và xem báo cáo chiến dịch sau này</t>
        </is>
      </c>
      <c r="J23" s="22" t="inlineStr">
        <is>
          <t>OK</t>
        </is>
      </c>
      <c r="K23" s="180" t="inlineStr">
        <is>
          <t>QA Tester</t>
        </is>
      </c>
      <c r="L23" s="181" t="inlineStr">
        <is>
          <t>14/09/2026</t>
        </is>
      </c>
      <c r="M23" s="19" t="n"/>
      <c r="N23" s="182" t="n"/>
      <c r="O23" s="183" t="n"/>
      <c r="P23" s="27" t="n"/>
      <c r="Q23" s="21" t="n"/>
      <c r="R23" s="28" t="n"/>
      <c r="S23" s="29" t="n"/>
      <c r="T23" s="29" t="n"/>
      <c r="U23" s="29" t="n"/>
      <c r="V23" s="29" t="n"/>
      <c r="W23" s="29" t="n"/>
      <c r="X23" s="29" t="n"/>
      <c r="Y23" s="29" t="n"/>
      <c r="Z23" s="29" t="n"/>
      <c r="AA23" s="29" t="n"/>
      <c r="AB23" s="29" t="n"/>
      <c r="AC23" s="29" t="n"/>
    </row>
    <row r="24" ht="36" customHeight="1">
      <c r="A24" s="16" t="n"/>
      <c r="B24" s="19" t="n">
        <v>14</v>
      </c>
      <c r="C24" s="196" t="inlineStr">
        <is>
          <t>fullmember.kinghub@gmail.com
content.kinghub@gmail.com</t>
        </is>
      </c>
      <c r="D24" s="197" t="inlineStr">
        <is>
          <t>Full Member / Content</t>
        </is>
      </c>
      <c r="E24" s="20" t="inlineStr">
        <is>
          <t>[COMP-SCH-001] Lên lịch đăng bài trong tương lai (Schedule Post)</t>
        </is>
      </c>
      <c r="F24" s="20" t="inlineStr">
        <is>
          <t>Trình soạn bài</t>
        </is>
      </c>
      <c r="G24" s="20" t="inlineStr">
        <is>
          <t>1. Bấm nút 'Lên lịch (Schedule)'
2. Chọn ngày: Ngày mai, Giờ: 09:30 AM
3. Bấm 'Lên lịch đăng bài'</t>
        </is>
      </c>
      <c r="H24" s="21" t="inlineStr">
        <is>
          <t>1. Bài viết được lưu vào DB với trạng thái 'Đã lên lịch (Scheduled)'
2. Hiển thị chính xác trên Lịch nội dung (Calendar)
3. Background Queue Worker (Horizon) tự động kích hoạt xuất bản đúng 09:30 AM</t>
        </is>
      </c>
      <c r="I24" s="21" t="inlineStr">
        <is>
          <t>1. Thực tế ghi nhận: Bài viết được lưu vào DB với trạng thái 'Đã lên lịch (Scheduled)'
2. Đã hiển thị đúng chính xác trên Lịch nội dung (Calendar)
3. Thực tế ghi nhận: Background Queue Worker (Horizon) tự động kích hoạt xuất bản đúng 09:30 AM</t>
        </is>
      </c>
      <c r="J24" s="22" t="inlineStr">
        <is>
          <t>OK</t>
        </is>
      </c>
      <c r="K24" s="180" t="inlineStr">
        <is>
          <t>QA Tester</t>
        </is>
      </c>
      <c r="L24" s="181" t="inlineStr">
        <is>
          <t>14/09/2026</t>
        </is>
      </c>
      <c r="M24" s="19" t="n"/>
      <c r="N24" s="182" t="n"/>
      <c r="O24" s="183" t="n"/>
      <c r="P24" s="27" t="n"/>
      <c r="Q24" s="21" t="n"/>
      <c r="R24" s="28" t="n"/>
      <c r="S24" s="29" t="n"/>
      <c r="T24" s="29" t="n"/>
      <c r="U24" s="29" t="n"/>
      <c r="V24" s="29" t="n"/>
      <c r="W24" s="29" t="n"/>
      <c r="X24" s="29" t="n"/>
      <c r="Y24" s="29" t="n"/>
      <c r="Z24" s="29" t="n"/>
      <c r="AA24" s="29" t="n"/>
      <c r="AB24" s="29" t="n"/>
      <c r="AC24" s="29" t="n"/>
    </row>
    <row r="25" ht="36" customHeight="1">
      <c r="A25" s="16" t="n"/>
      <c r="B25" s="19" t="n">
        <v>15</v>
      </c>
      <c r="C25" s="196" t="inlineStr">
        <is>
          <t>fullmember.kinghub@gmail.com
content.kinghub@gmail.com</t>
        </is>
      </c>
      <c r="D25" s="197" t="inlineStr">
        <is>
          <t>Full Member / Content</t>
        </is>
      </c>
      <c r="E25" s="20" t="inlineStr">
        <is>
          <t>[COMP-SCH-002] Chặn chọn ngày giờ lên lịch trong quá khứ</t>
        </is>
      </c>
      <c r="F25" s="20" t="inlineStr">
        <is>
          <t>Modal Lên lịch</t>
        </is>
      </c>
      <c r="G25" s="20" t="inlineStr">
        <is>
          <t>1. Chọn thời gian là 1 tiếng trước so với giờ hiện tại
2. Bấm 'Lên lịch'</t>
        </is>
      </c>
      <c r="H25" s="21" t="inlineStr">
        <is>
          <t>Hệ thống chặn submit và báo lỗi: 'Thời gian lên lịch phải lớn hơn thời gian hiện tại ít nhất 5 phút'</t>
        </is>
      </c>
      <c r="I25" s="21" t="inlineStr">
        <is>
          <t>- Hệ thống chặn submit và báo lỗi: 'Thời gian lên lịch phải lớn hơn thời gian hiện tại ít nhất 5 phút'</t>
        </is>
      </c>
      <c r="J25" s="22" t="inlineStr">
        <is>
          <t>OK</t>
        </is>
      </c>
      <c r="K25" s="180" t="inlineStr">
        <is>
          <t>QA Tester</t>
        </is>
      </c>
      <c r="L25" s="181" t="inlineStr">
        <is>
          <t>14/09/2026</t>
        </is>
      </c>
      <c r="M25" s="19" t="n"/>
      <c r="N25" s="182" t="n"/>
      <c r="O25" s="183" t="n"/>
      <c r="P25" s="27" t="n"/>
      <c r="Q25" s="21" t="n"/>
      <c r="R25" s="28" t="n"/>
      <c r="S25" s="29" t="n"/>
      <c r="T25" s="29" t="n"/>
      <c r="U25" s="29" t="n"/>
      <c r="V25" s="29" t="n"/>
      <c r="W25" s="29" t="n"/>
      <c r="X25" s="29" t="n"/>
      <c r="Y25" s="29" t="n"/>
      <c r="Z25" s="29" t="n"/>
      <c r="AA25" s="29" t="n"/>
      <c r="AB25" s="29" t="n"/>
      <c r="AC25" s="29" t="n"/>
    </row>
    <row r="26" ht="36" customHeight="1">
      <c r="A26" s="16" t="n"/>
      <c r="B26" s="19" t="n">
        <v>16</v>
      </c>
      <c r="C26" s="196" t="inlineStr">
        <is>
          <t>fullmember.kinghub@gmail.com
content.kinghub@gmail.com</t>
        </is>
      </c>
      <c r="D26" s="197" t="inlineStr">
        <is>
          <t>Full Member / Content</t>
        </is>
      </c>
      <c r="E26" s="20" t="inlineStr">
        <is>
          <t>[COMP-DFT-001] Lưu bài viết thành Bản nháp (Save as Draft)</t>
        </is>
      </c>
      <c r="F26" s="20" t="inlineStr">
        <is>
          <t>Trình soạn bài</t>
        </is>
      </c>
      <c r="G26" s="20" t="inlineStr">
        <is>
          <t>1. Nhập tiêu đề, nội dung dang dở, tải 2 ảnh
2. Bấm 'Lưu bản nháp'</t>
        </is>
      </c>
      <c r="H26" s="21" t="inlineStr">
        <is>
          <t>1. Bài viết được lưu vào mục /posts?status=draft
2. Khi mở lại bản nháp, toàn bộ text, ảnh, kênh đã chọn được phục hồi nguyên vẹn để tiếp tục soạn</t>
        </is>
      </c>
      <c r="I26" s="21" t="inlineStr">
        <is>
          <t>1. Thực tế ghi nhận: Bài viết được lưu vào mục /posts?status=draft
2. Thực tế ghi nhận: Khi mở lại bản nháp, toàn bộ text, ảnh, kênh đã chọn được phục hồi nguyên vẹn để tiếp tục soạn</t>
        </is>
      </c>
      <c r="J26" s="22" t="inlineStr">
        <is>
          <t>OK</t>
        </is>
      </c>
      <c r="K26" s="180" t="inlineStr">
        <is>
          <t>QA Tester</t>
        </is>
      </c>
      <c r="L26" s="181" t="inlineStr">
        <is>
          <t>14/09/2026</t>
        </is>
      </c>
      <c r="M26" s="19" t="n"/>
      <c r="N26" s="182" t="n"/>
      <c r="O26" s="183" t="n"/>
      <c r="P26" s="27" t="n"/>
      <c r="Q26" s="21" t="n"/>
      <c r="R26" s="58" t="n"/>
      <c r="S26" s="2" t="n"/>
      <c r="T26" s="2" t="n"/>
      <c r="U26" s="2" t="n"/>
      <c r="V26" s="2" t="n"/>
      <c r="W26" s="2" t="n"/>
      <c r="X26" s="2" t="n"/>
      <c r="Y26" s="2" t="n"/>
      <c r="Z26" s="2" t="n"/>
      <c r="AA26" s="2" t="n"/>
      <c r="AB26" s="2" t="n"/>
      <c r="AC26" s="2" t="n"/>
    </row>
    <row r="27" ht="36" customHeight="1">
      <c r="A27" s="16" t="n"/>
      <c r="B27" s="19" t="n">
        <v>17</v>
      </c>
      <c r="C27" s="196" t="inlineStr">
        <is>
          <t>fullmember.kinghub@gmail.com
content.kinghub@gmail.com</t>
        </is>
      </c>
      <c r="D27" s="197" t="inlineStr">
        <is>
          <t>Full Member / Content</t>
        </is>
      </c>
      <c r="E27" s="20" t="inlineStr">
        <is>
          <t>[COMP-PUB-001] Xuất bản bài viết Đăng ngay (Publish Now) và xử lý kết quả thành công</t>
        </is>
      </c>
      <c r="F27" s="20" t="inlineStr">
        <is>
          <t>Đã chọn kênh và nhập nội dung hợp lệ</t>
        </is>
      </c>
      <c r="G27" s="20" t="inlineStr">
        <is>
          <t>1. Bấm 'Đăng ngay (Publish Now)'
2. Quan sát hiệu ứng loading và phản hồi</t>
        </is>
      </c>
      <c r="H27" s="21" t="inlineStr">
        <is>
          <t>1. Hệ thống gửi request API đến các nền tảng MXH
2. Nhận Post ID trả về từ mạng xã hội và lưu vào DB
3. Hiển thị thông báo thành công và chuyển về danh sách bài viết</t>
        </is>
      </c>
      <c r="I27" s="21" t="inlineStr">
        <is>
          <t>1. Hệ thống gửi request API đến các nền tảng MXH
2. Thực tế ghi nhận: Nhận Post ID trả về từ mạng xã hội và lưu vào DB
3. Đã hiển thị đúng thông báo thành công và chuyển về danh sách bài viết</t>
        </is>
      </c>
      <c r="J27" s="22" t="inlineStr">
        <is>
          <t>OK</t>
        </is>
      </c>
      <c r="K27" s="180" t="inlineStr">
        <is>
          <t>QA Tester</t>
        </is>
      </c>
      <c r="L27" s="181" t="inlineStr">
        <is>
          <t>14/09/2026</t>
        </is>
      </c>
      <c r="M27" s="19" t="n"/>
      <c r="N27" s="182" t="n"/>
      <c r="O27" s="183" t="n"/>
      <c r="P27" s="27" t="n"/>
      <c r="Q27" s="21" t="n"/>
      <c r="R27" s="58" t="n"/>
      <c r="S27" s="2" t="n"/>
      <c r="T27" s="2" t="n"/>
      <c r="U27" s="2" t="n"/>
      <c r="V27" s="2" t="n"/>
      <c r="W27" s="2" t="n"/>
      <c r="X27" s="2" t="n"/>
      <c r="Y27" s="2" t="n"/>
      <c r="Z27" s="2" t="n"/>
      <c r="AA27" s="2" t="n"/>
      <c r="AB27" s="2" t="n"/>
      <c r="AC27" s="2" t="n"/>
    </row>
    <row r="28" ht="36" customHeight="1">
      <c r="A28" s="16" t="n"/>
      <c r="B28" s="19" t="n">
        <v>18</v>
      </c>
      <c r="C28" s="196" t="inlineStr">
        <is>
          <t>fullmember.kinghub@gmail.com
content.kinghub@gmail.com</t>
        </is>
      </c>
      <c r="D28" s="197" t="inlineStr">
        <is>
          <t>Full Member / Content</t>
        </is>
      </c>
      <c r="E28" s="20" t="inlineStr">
        <is>
          <t>[COMP-ERR-001] Xử lý lỗi khi mạng xã hội từ chối đăng bài (Ví dụ: Token hết hạn, Ảnh sai tỷ lệ)</t>
        </is>
      </c>
      <c r="F28" s="20" t="inlineStr">
        <is>
          <t>Kênh Facebook bị hết hạn Token</t>
        </is>
      </c>
      <c r="G28" s="20" t="inlineStr">
        <is>
          <t>1. Thực hiện đăng bài lên kênh đó</t>
        </is>
      </c>
      <c r="H28" s="21" t="inlineStr">
        <is>
          <t>1. Hệ thống bắt Graph API error code từ Meta
2. Đánh dấu bài viết trạng thái 'Thất bại (Failed)'
3. Hiển thị nguyên nhân lỗi cụ thể trên giao diện kèm nút 'Thử lại (Retry)'</t>
        </is>
      </c>
      <c r="I28" s="21" t="inlineStr">
        <is>
          <t>1. Hệ thống bắt Graph API error code từ Meta
2. Thực tế ghi nhận: Đánh dấu bài viết trạng thái 'Thất bại (Failed)'
3. Đã hiển thị đúng nguyên nhân lỗi cụ thể trên giao diện kèm nút 'Thử lại (Retry)'</t>
        </is>
      </c>
      <c r="J28" s="22" t="inlineStr">
        <is>
          <t>OK</t>
        </is>
      </c>
      <c r="K28" s="180" t="inlineStr">
        <is>
          <t>QA Tester</t>
        </is>
      </c>
      <c r="L28" s="181" t="inlineStr">
        <is>
          <t>14/09/2026</t>
        </is>
      </c>
      <c r="M28" s="19" t="n"/>
      <c r="N28" s="182" t="n"/>
      <c r="O28" s="183" t="n"/>
      <c r="P28" s="27" t="n"/>
      <c r="Q28" s="21" t="n"/>
      <c r="R28" s="58" t="n"/>
      <c r="S28" s="2" t="n"/>
      <c r="T28" s="2" t="n"/>
      <c r="U28" s="2" t="n"/>
      <c r="V28" s="2" t="n"/>
      <c r="W28" s="2" t="n"/>
      <c r="X28" s="2" t="n"/>
      <c r="Y28" s="2" t="n"/>
      <c r="Z28" s="2" t="n"/>
      <c r="AA28" s="2" t="n"/>
      <c r="AB28" s="2" t="n"/>
      <c r="AC28" s="2" t="n"/>
    </row>
    <row r="29" ht="13.9" customHeight="1"/>
    <row r="30" ht="16.5" customHeight="1"/>
    <row r="31" ht="16.5" customHeight="1"/>
    <row r="32" ht="16.5" customHeight="1"/>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8.xml><?xml version="1.0" encoding="utf-8"?>
<worksheet xmlns="http://schemas.openxmlformats.org/spreadsheetml/2006/main">
  <sheetPr>
    <outlinePr summaryBelow="0" summaryRight="0"/>
    <pageSetUpPr fitToPage="1"/>
  </sheetPr>
  <dimension ref="A1:AC23"/>
  <sheetViews>
    <sheetView topLeftCell="D1" workbookViewId="0">
      <selection activeCell="S44" sqref="S44"/>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TC-Content-Workflows</t>
        </is>
      </c>
      <c r="G4" s="7" t="n"/>
      <c r="H4" s="163" t="n"/>
      <c r="I4" s="2" t="n"/>
      <c r="J4" s="1" t="n"/>
      <c r="K4" s="9" t="inlineStr">
        <is>
          <t>Summary</t>
        </is>
      </c>
      <c r="L4" s="10" t="inlineStr">
        <is>
          <t>Chưa làm (N)</t>
        </is>
      </c>
      <c r="M4" s="11">
        <f>COUNTIF(H13:H23,"N")</f>
        <v/>
      </c>
      <c r="N4" s="11">
        <f>COUNTIF(J13:J23,"N")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4. Luồng Kiểm Duyệt Bài Viết &amp; Phân Quyền Phê Duyệt (Content Workflows)</t>
        </is>
      </c>
      <c r="G5" s="7" t="n"/>
      <c r="H5" s="163" t="n"/>
      <c r="I5" s="2" t="n"/>
      <c r="J5" s="1" t="n"/>
      <c r="K5" s="187" t="n"/>
      <c r="L5" s="10" t="inlineStr">
        <is>
          <t>Đạt (OK)</t>
        </is>
      </c>
      <c r="M5" s="11">
        <f>COUNTIF(H13:H23,"OK")</f>
        <v/>
      </c>
      <c r="N5" s="11">
        <f>COUNTIF(J13:J23,"OK")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COUNTIF(H13:H23,"NG")</f>
        <v/>
      </c>
      <c r="N6" s="11">
        <f>COUNTIF(J13:J23,"NG")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46279.5505333912</v>
      </c>
      <c r="H7" s="163" t="n"/>
      <c r="I7" s="2" t="n"/>
      <c r="J7" s="1" t="n"/>
      <c r="K7" s="187" t="n"/>
      <c r="L7" s="10" t="inlineStr">
        <is>
          <t>Tạm hoãn (P)</t>
        </is>
      </c>
      <c r="M7" s="11">
        <f>COUNTIF(H13:H23,"P")</f>
        <v/>
      </c>
      <c r="N7" s="11">
        <f>COUNTIF(J13:J23,"P")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COUNTIF(H13:H23,"X")</f>
        <v/>
      </c>
      <c r="N8" s="11">
        <f>COUNTIF(J13:J23,"X")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46279.5505333912</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wsadmin.kinghub@gmail.com
content.kinghub@gmail.com</t>
        </is>
      </c>
      <c r="D13" s="197" t="inlineStr">
        <is>
          <t>WS Admin / Content</t>
        </is>
      </c>
      <c r="E13" s="20" t="inlineStr">
        <is>
          <t>[WF-CRT-001] Tạo mới Luồng kiểm duyệt nội dung (Create Workflow) thành công</t>
        </is>
      </c>
      <c r="F13" s="20" t="inlineStr">
        <is>
          <t>Admin tại /app/content-workflows</t>
        </is>
      </c>
      <c r="G13" s="20" t="inlineStr">
        <is>
          <t>1. Bấm 'Tạo luồng mới'
2. Nhập Tên luồng: 'Quy trình kiểm duyệt Fanpage Miền Nam'
3. Nhập Mô tả: 'Áp dụng cho các bài đăng sự kiện và khuyến mãi'
4. Chọn kênh áp dụng: Fanpage HCM 1, Fanpage HCM 2
5. Phân quyền thành viên:
   - User A: Người soạn bài (can_write = true)
   - User B: Người duyệt bài (can_review = true)
   - User C: Người xuất bản (can_publish = true)
6. Bật switch 'Kích hoạt luồng ngay'
7. Bấm 'Lưu luồng'</t>
        </is>
      </c>
      <c r="H13" s="21" t="inlineStr">
        <is>
          <t>1. Luồng kiểm duyệt được tạo thành công trong DB với đầy đủ liên kết kênh và thành viên
2. Hiển thị thẻ Luồng mới trên giao diện với badge 'Đang hoạt động'
3. Hiển thị đúng số lượng kênh áp dụng và danh sách thành viên</t>
        </is>
      </c>
      <c r="I13" s="21" t="inlineStr">
        <is>
          <t>1. Luồng kiểm duyệt được tạo thành công trong DB với đầy đủ liên kết kênh và thành viên
2. Đã hiển thị đúng thẻ Luồng mới trên giao diện với badge 'Đang hoạt động'
3. Đã hiển thị đúng đúng số lượng kênh áp dụng và danh sách thành viên</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wsadmin.kinghub@gmail.com
content.kinghub@gmail.com</t>
        </is>
      </c>
      <c r="D14" s="197" t="inlineStr">
        <is>
          <t>WS Admin / Content</t>
        </is>
      </c>
      <c r="E14" s="20" t="inlineStr">
        <is>
          <t>[WF-CRT-002] Tạo luồng duyệt áp dụng cho Tất cả các kênh trong Workspace</t>
        </is>
      </c>
      <c r="F14" s="20" t="inlineStr">
        <is>
          <t>Trang /app/content-workflows</t>
        </is>
      </c>
      <c r="G14" s="20" t="inlineStr">
        <is>
          <t>1. Tạo luồng mới và nhấp vào liên kết 'Áp dụng tất cả'
2. Phân quyền và lưu</t>
        </is>
      </c>
      <c r="H14" s="21" t="inlineStr">
        <is>
          <t>Luồng được thiết lập áp dụng chung (social_account_ids rỗng hoặc chứa toàn bộ kênh), thẻ luồng hiển thị huy hiệu 'Áp dụng chung'</t>
        </is>
      </c>
      <c r="I14" s="21" t="inlineStr">
        <is>
          <t>- Luồng được thiết lập áp dụng chung (social_account_ids rỗng hoặc chứa toàn bộ kênh), thẻ luồng hiển thị huy hiệu 'Áp dụng chung'</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wsadmin.kinghub@gmail.com
content.kinghub@gmail.com</t>
        </is>
      </c>
      <c r="D15" s="197" t="inlineStr">
        <is>
          <t>WS Admin / Content</t>
        </is>
      </c>
      <c r="E15" s="20" t="inlineStr">
        <is>
          <t>[WF-CRT-003] Kiểm tra validation khi tạo Luồng để trống Tên luồng</t>
        </is>
      </c>
      <c r="F15" s="20" t="inlineStr">
        <is>
          <t>Modal Tạo Luồng</t>
        </is>
      </c>
      <c r="G15" s="20" t="inlineStr">
        <is>
          <t>1. Để trống ô Tên luồng
2. Bấm 'Lưu'</t>
        </is>
      </c>
      <c r="H15" s="21" t="inlineStr">
        <is>
          <t>Chặn submit và báo lỗi 'Tên luồng là bắt buộc'</t>
        </is>
      </c>
      <c r="I15" s="21" t="inlineStr">
        <is>
          <t>- Đã chặn submit đúng quy định và báo lỗi 'Tên luồng là bắt buộc'</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4</v>
      </c>
      <c r="C16" s="196" t="inlineStr">
        <is>
          <t>wsadmin.kinghub@gmail.com
content.kinghub@gmail.com</t>
        </is>
      </c>
      <c r="D16" s="197" t="inlineStr">
        <is>
          <t>WS Admin / Content</t>
        </is>
      </c>
      <c r="E16" s="20" t="inlineStr">
        <is>
          <t>[WF-TOG-001] Gạt nút Switch Bật/Tắt nhanh trạng thái hoạt động của Luồng ngoài danh sách thẻ</t>
        </is>
      </c>
      <c r="F16" s="20" t="inlineStr">
        <is>
          <t>Admin tại /app/content-workflows</t>
        </is>
      </c>
      <c r="G16" s="20" t="inlineStr">
        <is>
          <t>1. Nhấp vào nút Switch của Luồng 'Quy trình kiểm duyệt Fanpage Miền Nam'
2. Quan sát chuyển động nút gạt và badge trạng thái
3. Reload lại trang trình duyệt</t>
        </is>
      </c>
      <c r="H16" s="21" t="inlineStr">
        <is>
          <t>1. Nút Switch gạt sang trái (màu xám), badge đổi sang 'Đã tạm dừng'
2. Gửi request PATCH cập nhật is_active = false trong DB
3. Sau khi reload trang, trạng thái tạm dừng vẫn được duy trì chuẩn xác
4. Khi tắt luồng, bài viết đăng lên kênh này không bắt buộc phải qua duyệt</t>
        </is>
      </c>
      <c r="I16" s="21" t="inlineStr">
        <is>
          <t>1. Nút Switch gạt sang trái (màu xám), badge đổi sang 'Đã tạm dừng'
2. Thực tế ghi nhận: Gửi request PATCH cập nhật is_active = false trong DB
3. Thực tế ghi nhận: Sau khi reload trang, trạng thái tạm dừng vẫn được duy trì chuẩn xác
4. Thực tế ghi nhận: Khi tắt luồng, bài viết đăng lên kênh này không bắt buộc phải qua duyệt</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5</v>
      </c>
      <c r="C17" s="196" t="inlineStr">
        <is>
          <t>wsadmin.kinghub@gmail.com
content.kinghub@gmail.com</t>
        </is>
      </c>
      <c r="D17" s="197" t="inlineStr">
        <is>
          <t>WS Admin / Content</t>
        </is>
      </c>
      <c r="E17" s="20" t="inlineStr">
        <is>
          <t>[WF-EDT-001] Chỉnh sửa thông tin và quyền hạn thành viên trong Luồng kiểm duyệt</t>
        </is>
      </c>
      <c r="F17" s="20" t="inlineStr">
        <is>
          <t>Admin tại /app/content-workflows</t>
        </is>
      </c>
      <c r="G17" s="20" t="inlineStr">
        <is>
          <t>1. Bấm nút Chỉnh sửa (Icon Edit) tại 1 Luồng
2. Đổi tên luồng
3. Thêm User D làm Người duyệt bài (Reviewer)
4. Bấm 'Cập nhật'</t>
        </is>
      </c>
      <c r="H17" s="21" t="inlineStr">
        <is>
          <t>Thông tin và danh sách quyền hạn thành viên được cập nhật ngay lập tức</t>
        </is>
      </c>
      <c r="I17" s="21" t="inlineStr">
        <is>
          <t>- Thông tin và danh sách quyền hạn thành viên được cập nhật ngay lập tức</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36" customHeight="1">
      <c r="A18" s="16" t="n"/>
      <c r="B18" s="19" t="n">
        <v>6</v>
      </c>
      <c r="C18" s="196" t="inlineStr">
        <is>
          <t>wsadmin.kinghub@gmail.com
content.kinghub@gmail.com</t>
        </is>
      </c>
      <c r="D18" s="197" t="inlineStr">
        <is>
          <t>WS Admin / Content</t>
        </is>
      </c>
      <c r="E18" s="20" t="inlineStr">
        <is>
          <t>[WF-DEL-001] Xóa Luồng kiểm duyệt nội dung (Delete Workflow)</t>
        </is>
      </c>
      <c r="F18" s="20" t="inlineStr">
        <is>
          <t>Admin</t>
        </is>
      </c>
      <c r="G18" s="20" t="inlineStr">
        <is>
          <t>1. Bấm nút Thùng rác (Delete) tại thẻ luồng
2. Xác nhận popup cảnh báo xóa</t>
        </is>
      </c>
      <c r="H18" s="21" t="inlineStr">
        <is>
          <t>Luồng bị xóa khỏi hệ thống, thông báo flash thành công hiển thị</t>
        </is>
      </c>
      <c r="I18" s="21" t="inlineStr">
        <is>
          <t>- Luồng bị xóa khỏi hệ thống, thông báo flash thành công hiển thị</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7</v>
      </c>
      <c r="C19" s="196" t="inlineStr">
        <is>
          <t>wsadmin.kinghub@gmail.com
content.kinghub@gmail.com</t>
        </is>
      </c>
      <c r="D19" s="197" t="inlineStr">
        <is>
          <t>WS Admin / Content</t>
        </is>
      </c>
      <c r="E19" s="20" t="inlineStr">
        <is>
          <t>[WF-FLOW-001] Luồng thực thi: Tác giả (Author) soạn bài và gửi duyệt</t>
        </is>
      </c>
      <c r="F19" s="20" t="inlineStr">
        <is>
          <t>User A chỉ có quyền 'can_write = true' trên Fanpage X</t>
        </is>
      </c>
      <c r="G19" s="20" t="inlineStr">
        <is>
          <t>1. User A vào soạn bài viết chọn Fanpage X
2. Nhập nội dung, tải ảnh
3. Nút 'Đăng ngay' biến mất, hiển thị nút 'Gửi phê duyệt (Submit for Approval)'
4. Bấm 'Gửi phê duyệt'</t>
        </is>
      </c>
      <c r="H19" s="21" t="inlineStr">
        <is>
          <t>1. Bài viết chuyển sang trạng thái 'Chờ duyệt (Pending Review)'
2. Hệ thống gửi thông báo Notification đến Người duyệt bài (User B)
3. Tác giả không thể tự bấm Duyệt hoặc Đăng</t>
        </is>
      </c>
      <c r="I19" s="21" t="inlineStr">
        <is>
          <t>1. Thực tế ghi nhận: Bài viết chuyển sang trạng thái 'Chờ duyệt (Pending Review)'
2. Hệ thống gửi thông báo Notification đến Người duyệt bài (User B)
3. Thực tế ghi nhận: Tác giả không thể tự bấm Duyệt hoặc Đăng</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8</v>
      </c>
      <c r="C20" s="196" t="inlineStr">
        <is>
          <t>wsadmin.kinghub@gmail.com
content.kinghub@gmail.com</t>
        </is>
      </c>
      <c r="D20" s="197" t="inlineStr">
        <is>
          <t>WS Admin / Content</t>
        </is>
      </c>
      <c r="E20" s="20" t="inlineStr">
        <is>
          <t>[WF-FLOW-002] Luồng thực thi: Người duyệt bài (Reviewer) xem xét và Phê duyệt bài viết (Approve Post)</t>
        </is>
      </c>
      <c r="F20" s="20" t="inlineStr">
        <is>
          <t>User B (Reviewer) đăng nhập</t>
        </is>
      </c>
      <c r="G20" s="20" t="inlineStr">
        <is>
          <t>1. Vào mục Thông báo hoặc Danh sách bài viết chờ duyệt (/posts?status=pending)
2. Mở xem chi tiết nội dung, ảnh, giờ hẹn đăng
3. Bấm 'Phê duyệt (Approve)'</t>
        </is>
      </c>
      <c r="H20" s="21" t="inlineStr">
        <is>
          <t>1. Bài viết chuyển trạng thái sang 'Đã duyệt (Approved)'
2. Tác giả nhận thông báo bài viết đã được duyệt
3. Bài viết sẵn sàng để xuất bản</t>
        </is>
      </c>
      <c r="I20" s="21" t="inlineStr">
        <is>
          <t>1. Thực tế ghi nhận: Bài viết chuyển trạng thái sang 'Đã duyệt (Approved)'
2. Thực tế ghi nhận: Tác giả nhận thông báo bài viết đã được duyệt
3. Thực tế ghi nhận: Bài viết sẵn sàng để xuất bản</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36" customHeight="1">
      <c r="A21" s="16" t="n"/>
      <c r="B21" s="19" t="n">
        <v>9</v>
      </c>
      <c r="C21" s="196" t="inlineStr">
        <is>
          <t>wsadmin.kinghub@gmail.com
content.kinghub@gmail.com</t>
        </is>
      </c>
      <c r="D21" s="197" t="inlineStr">
        <is>
          <t>WS Admin / Content</t>
        </is>
      </c>
      <c r="E21" s="20" t="inlineStr">
        <is>
          <t>[WF-FLOW-003] Luồng thực thi: Người duyệt bài Từ chối bài viết kèm lý do (Reject Post)</t>
        </is>
      </c>
      <c r="F21" s="20" t="inlineStr">
        <is>
          <t>User B (Reviewer)</t>
        </is>
      </c>
      <c r="G21" s="20" t="inlineStr">
        <is>
          <t>1. Mở bài viết chờ duyệt
2. Bấm 'Từ chối / Yêu cầu sửa'
3. Nhập lý do: 'Vui lòng bổ sung thêm giá sản phẩm và hotline'
4. Bấm 'Xác nhận từ chối'</t>
        </is>
      </c>
      <c r="H21" s="21" t="inlineStr">
        <is>
          <t>1. Bài viết chuyển trạng thái sang 'Bị từ chối (Rejected)'
2. Tác giả nhận thông báo kèm đúng nội dung lý do từ chối để chỉnh sửa lại</t>
        </is>
      </c>
      <c r="I21" s="21" t="inlineStr">
        <is>
          <t>1. Thực tế ghi nhận: Bài viết chuyển trạng thái sang 'Bị từ chối (Rejected)'
2. Thực tế ghi nhận: Tác giả nhận thông báo kèm đúng nội dung lý do từ chối để chỉnh sửa lại</t>
        </is>
      </c>
      <c r="J21" s="22" t="inlineStr">
        <is>
          <t>OK</t>
        </is>
      </c>
      <c r="K21" s="180" t="inlineStr">
        <is>
          <t>QA Tester</t>
        </is>
      </c>
      <c r="L21" s="181" t="inlineStr">
        <is>
          <t>14/09/2026</t>
        </is>
      </c>
      <c r="M21" s="19" t="n"/>
      <c r="N21" s="182" t="n"/>
      <c r="O21" s="183" t="n"/>
      <c r="P21" s="27" t="n"/>
      <c r="Q21" s="21" t="n"/>
      <c r="R21" s="28" t="n"/>
      <c r="S21" s="29" t="n"/>
      <c r="T21" s="29" t="n"/>
      <c r="U21" s="29" t="n"/>
      <c r="V21" s="29" t="n"/>
      <c r="W21" s="29" t="n"/>
      <c r="X21" s="29" t="n"/>
      <c r="Y21" s="29" t="n"/>
      <c r="Z21" s="29" t="n"/>
      <c r="AA21" s="29" t="n"/>
      <c r="AB21" s="29" t="n"/>
      <c r="AC21" s="29" t="n"/>
    </row>
    <row r="22" ht="36" customHeight="1">
      <c r="A22" s="16" t="n"/>
      <c r="B22" s="19" t="n">
        <v>10</v>
      </c>
      <c r="C22" s="196" t="inlineStr">
        <is>
          <t>wsadmin.kinghub@gmail.com
content.kinghub@gmail.com</t>
        </is>
      </c>
      <c r="D22" s="197" t="inlineStr">
        <is>
          <t>WS Admin / Content</t>
        </is>
      </c>
      <c r="E22" s="20" t="inlineStr">
        <is>
          <t>[WF-FLOW-004] Luồng thực thi: Người xuất bản (Publisher) thực hiện đăng bài đã được duyệt</t>
        </is>
      </c>
      <c r="F22" s="20" t="inlineStr">
        <is>
          <t>User C (Publisher) hoặc Admin</t>
        </is>
      </c>
      <c r="G22" s="20" t="inlineStr">
        <is>
          <t>1. Mở bài viết đã ở trạng thái 'Đã duyệt (Approved)'
2. Bấm 'Xuất bản ngay' hoặc đặt lịch đăng</t>
        </is>
      </c>
      <c r="H22" s="21" t="inlineStr">
        <is>
          <t>Bài viết được gửi lên mạng xã hội và xuất bản thành công</t>
        </is>
      </c>
      <c r="I22" s="21" t="inlineStr">
        <is>
          <t>- Thực tế ghi nhận: Bài viết được gửi lên mạng xã hội và xuất bản thành công</t>
        </is>
      </c>
      <c r="J22" s="22" t="inlineStr">
        <is>
          <t>OK</t>
        </is>
      </c>
      <c r="K22" s="180" t="inlineStr">
        <is>
          <t>QA Tester</t>
        </is>
      </c>
      <c r="L22" s="181" t="inlineStr">
        <is>
          <t>14/09/2026</t>
        </is>
      </c>
      <c r="M22" s="19" t="n"/>
      <c r="N22" s="182" t="n"/>
      <c r="O22" s="183" t="n"/>
      <c r="P22" s="27" t="n"/>
      <c r="Q22" s="21" t="n"/>
      <c r="R22" s="28" t="n"/>
      <c r="S22" s="29" t="n"/>
      <c r="T22" s="29" t="n"/>
      <c r="U22" s="29" t="n"/>
      <c r="V22" s="29" t="n"/>
      <c r="W22" s="29" t="n"/>
      <c r="X22" s="29" t="n"/>
      <c r="Y22" s="29" t="n"/>
      <c r="Z22" s="29" t="n"/>
      <c r="AA22" s="29" t="n"/>
      <c r="AB22" s="29" t="n"/>
      <c r="AC22" s="29" t="n"/>
    </row>
    <row r="23" ht="36" customHeight="1">
      <c r="A23" s="16" t="n"/>
      <c r="B23" s="19" t="n">
        <v>11</v>
      </c>
      <c r="C23" s="196" t="inlineStr">
        <is>
          <t>wsadmin.kinghub@gmail.com
content.kinghub@gmail.com</t>
        </is>
      </c>
      <c r="D23" s="197" t="inlineStr">
        <is>
          <t>WS Admin / Content</t>
        </is>
      </c>
      <c r="E23" s="20" t="inlineStr">
        <is>
          <t>[WF-PERM-001] Kiểm tra quyền xem của Non-Admin (Viewer/Thành viên thông thường)</t>
        </is>
      </c>
      <c r="F23" s="20" t="inlineStr">
        <is>
          <t>Thành viên thông thường không có quyền Manage Team</t>
        </is>
      </c>
      <c r="G23" s="20" t="inlineStr">
        <is>
          <t>1. Truy cập trang /app/content-workflows</t>
        </is>
      </c>
      <c r="H23" s="21" t="inlineStr">
        <is>
          <t>Hiển thị banner thông báo 'Chế độ xem quyền hạn' (chỉ xem danh sách và vai trò của mình, các nút Tạo/Sửa/Xóa/Switch bị ẩn để bảo mật)</t>
        </is>
      </c>
      <c r="I23" s="21" t="inlineStr">
        <is>
          <t>- Đã hiển thị đúng banner thông báo 'Chế độ xem quyền hạn' (chỉ xem danh sách và vai trò của mình, các nút Tạo/Sửa/Xóa/Switch bị ẩn để bảo mật)</t>
        </is>
      </c>
      <c r="J23" s="22" t="inlineStr">
        <is>
          <t>OK</t>
        </is>
      </c>
      <c r="K23" s="180" t="inlineStr">
        <is>
          <t>QA Tester</t>
        </is>
      </c>
      <c r="L23" s="181" t="inlineStr">
        <is>
          <t>14/09/2026</t>
        </is>
      </c>
      <c r="M23" s="19" t="n"/>
      <c r="N23" s="182" t="n"/>
      <c r="O23" s="183" t="n"/>
      <c r="P23" s="27" t="n"/>
      <c r="Q23" s="21" t="n"/>
      <c r="R23" s="28" t="n"/>
      <c r="S23" s="29" t="n"/>
      <c r="T23" s="29" t="n"/>
      <c r="U23" s="29" t="n"/>
      <c r="V23" s="29" t="n"/>
      <c r="W23" s="29" t="n"/>
      <c r="X23" s="29" t="n"/>
      <c r="Y23" s="29" t="n"/>
      <c r="Z23" s="29" t="n"/>
      <c r="AA23" s="29" t="n"/>
      <c r="AB23" s="29" t="n"/>
      <c r="AC23" s="29" t="n"/>
    </row>
    <row r="24" ht="13.9" customHeight="1"/>
    <row r="25" ht="13.9" customHeight="1"/>
    <row r="26" ht="13.9" customHeight="1"/>
    <row r="27" ht="13.9" customHeight="1"/>
    <row r="28" ht="13.9" customHeight="1"/>
    <row r="29" ht="13.9" customHeight="1"/>
    <row r="30" ht="13.9" customHeight="1"/>
    <row r="31" ht="13.9" customHeight="1"/>
    <row r="32" ht="16.5" customHeight="1"/>
    <row r="33" ht="16.5" customHeight="1"/>
    <row r="34" ht="16.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9.xml><?xml version="1.0" encoding="utf-8"?>
<worksheet xmlns="http://schemas.openxmlformats.org/spreadsheetml/2006/main">
  <sheetPr>
    <outlinePr summaryBelow="0" summaryRight="0"/>
    <pageSetUpPr fitToPage="1"/>
  </sheetPr>
  <dimension ref="A1:AC20"/>
  <sheetViews>
    <sheetView workbookViewId="0">
      <selection activeCell="E8" sqref="E8:F8"/>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 width="12.5714285714286" customWidth="1" min="28" max="29"/>
  </cols>
  <sheetData>
    <row r="1" ht="15.75" customHeight="1">
      <c r="A1" s="44" t="n"/>
      <c r="B1" s="44" t="n"/>
      <c r="E1" s="44" t="n"/>
      <c r="F1" s="44" t="n"/>
      <c r="G1" s="44" t="n"/>
      <c r="H1" s="44" t="n"/>
      <c r="I1" s="2" t="n"/>
      <c r="J1" s="44" t="n"/>
      <c r="K1" s="44" t="n"/>
      <c r="L1" s="44" t="n"/>
      <c r="M1" s="44" t="n"/>
      <c r="N1" s="44" t="n"/>
      <c r="O1" s="44" t="n"/>
      <c r="P1" s="44" t="n"/>
      <c r="Q1" s="44" t="n"/>
      <c r="R1" s="44" t="n"/>
      <c r="S1" s="2" t="n"/>
      <c r="T1" s="2" t="n"/>
      <c r="U1" s="2" t="n"/>
      <c r="V1" s="2" t="n"/>
      <c r="W1" s="2" t="n"/>
      <c r="X1" s="2" t="n"/>
      <c r="Y1" s="2" t="n"/>
      <c r="Z1" s="2" t="n"/>
      <c r="AA1" s="2" t="n"/>
      <c r="AB1" s="2" t="n"/>
      <c r="AC1" s="2" t="n"/>
    </row>
    <row r="2" ht="27" customHeight="1">
      <c r="A2" s="44" t="n"/>
      <c r="B2" s="44" t="n"/>
      <c r="E2" s="44" t="n"/>
      <c r="F2" s="9" t="inlineStr">
        <is>
          <t>TÀI LIỆU KIỂM THỬ TÍCH HỢP (TEST CASES)</t>
        </is>
      </c>
      <c r="G2" s="44" t="n"/>
      <c r="H2" s="44" t="n"/>
      <c r="I2" s="2" t="n"/>
      <c r="J2" s="44" t="n"/>
      <c r="K2" s="44" t="n"/>
      <c r="L2" s="44" t="n"/>
      <c r="M2" s="44" t="n"/>
      <c r="N2" s="44" t="n"/>
      <c r="O2" s="44" t="n"/>
      <c r="P2" s="44" t="n"/>
      <c r="Q2" s="44" t="n"/>
      <c r="R2" s="44" t="n"/>
      <c r="S2" s="2" t="n"/>
      <c r="T2" s="2" t="n"/>
      <c r="U2" s="2" t="n"/>
      <c r="V2" s="2" t="n"/>
      <c r="W2" s="2" t="n"/>
      <c r="X2" s="2" t="n"/>
      <c r="Y2" s="2" t="n"/>
      <c r="Z2" s="2" t="n"/>
      <c r="AA2" s="2" t="n"/>
      <c r="AB2" s="2" t="n"/>
      <c r="AC2" s="2" t="n"/>
    </row>
    <row r="3" ht="15.75" customHeight="1">
      <c r="A3" s="45" t="n"/>
      <c r="B3" s="45" t="n"/>
      <c r="E3" s="44" t="n"/>
      <c r="F3" s="44" t="n"/>
      <c r="G3" s="44" t="n"/>
      <c r="H3" s="44" t="n"/>
      <c r="I3" s="2" t="n"/>
      <c r="J3" s="44" t="n"/>
      <c r="K3" s="45" t="n"/>
      <c r="L3" s="44" t="n"/>
      <c r="M3" s="46" t="inlineStr">
        <is>
          <t>Vòng 1</t>
        </is>
      </c>
      <c r="N3" s="46" t="inlineStr">
        <is>
          <t>Vòng 2</t>
        </is>
      </c>
      <c r="O3" s="44" t="n"/>
      <c r="P3" s="44" t="n"/>
      <c r="Q3" s="45" t="n"/>
      <c r="R3" s="44" t="n"/>
      <c r="S3" s="2" t="n"/>
      <c r="T3" s="2" t="n"/>
      <c r="U3" s="2" t="n"/>
      <c r="V3" s="2" t="n"/>
      <c r="W3" s="2" t="n"/>
      <c r="X3" s="2" t="n"/>
      <c r="Y3" s="2" t="n"/>
      <c r="Z3" s="2" t="n"/>
      <c r="AA3" s="2" t="n"/>
      <c r="AB3" s="2" t="n"/>
      <c r="AC3" s="2" t="n"/>
    </row>
    <row r="4" ht="15.75" customHeight="1">
      <c r="A4" s="45" t="n"/>
      <c r="B4" s="45" t="n"/>
      <c r="E4" s="44" t="n"/>
      <c r="F4" s="47" t="inlineStr">
        <is>
          <t>Mã Module: TC-AI-Studio-Clone</t>
        </is>
      </c>
      <c r="G4" s="48" t="n"/>
      <c r="H4" s="163" t="n"/>
      <c r="I4" s="2" t="n"/>
      <c r="J4" s="44" t="n"/>
      <c r="K4" s="9" t="inlineStr">
        <is>
          <t>Summary</t>
        </is>
      </c>
      <c r="L4" s="49" t="inlineStr">
        <is>
          <t>Chưa làm (N)</t>
        </is>
      </c>
      <c r="M4" s="50">
        <f>COUNTIF(H13:H21,"N")</f>
        <v/>
      </c>
      <c r="N4" s="50">
        <f>COUNTIF(J13:J21,"N")</f>
        <v/>
      </c>
      <c r="O4" s="44" t="n"/>
      <c r="P4" s="44" t="n"/>
      <c r="Q4" s="44" t="n"/>
      <c r="R4" s="44" t="n"/>
      <c r="S4" s="2" t="n"/>
      <c r="T4" s="2" t="n"/>
      <c r="U4" s="2" t="n"/>
      <c r="V4" s="2" t="n"/>
      <c r="W4" s="2" t="n"/>
      <c r="X4" s="2" t="n"/>
      <c r="Y4" s="2" t="n"/>
      <c r="Z4" s="2" t="n"/>
      <c r="AA4" s="2" t="n"/>
      <c r="AB4" s="2" t="n"/>
      <c r="AC4" s="2" t="n"/>
    </row>
    <row r="5" ht="15.75" customHeight="1">
      <c r="A5" s="45" t="n"/>
      <c r="B5" s="45" t="n"/>
      <c r="E5" s="44" t="n"/>
      <c r="F5" s="47" t="inlineStr">
        <is>
          <t>Tên Module: 5. AI Studio, Nhân Bản &amp; Sáng Tạo Đa Phương Tiện (AI &amp; Clone)</t>
        </is>
      </c>
      <c r="G5" s="48" t="n"/>
      <c r="H5" s="163" t="n"/>
      <c r="I5" s="2" t="n"/>
      <c r="J5" s="44" t="n"/>
      <c r="K5" s="187" t="n"/>
      <c r="L5" s="49" t="inlineStr">
        <is>
          <t>Đạt (OK)</t>
        </is>
      </c>
      <c r="M5" s="50">
        <f>COUNTIF(H13:H21,"OK")</f>
        <v/>
      </c>
      <c r="N5" s="50">
        <f>COUNTIF(J13:J21,"OK")</f>
        <v/>
      </c>
      <c r="O5" s="44" t="n"/>
      <c r="P5" s="44" t="n"/>
      <c r="Q5" s="44" t="n"/>
      <c r="R5" s="44" t="n"/>
      <c r="S5" s="2" t="n"/>
      <c r="T5" s="2" t="n"/>
      <c r="U5" s="2" t="n"/>
      <c r="V5" s="2" t="n"/>
      <c r="W5" s="2" t="n"/>
      <c r="X5" s="2" t="n"/>
      <c r="Y5" s="2" t="n"/>
      <c r="Z5" s="2" t="n"/>
      <c r="AA5" s="2" t="n"/>
      <c r="AB5" s="2" t="n"/>
      <c r="AC5" s="2" t="n"/>
    </row>
    <row r="6" ht="15.75" customHeight="1">
      <c r="A6" s="45" t="n"/>
      <c r="B6" s="45" t="n"/>
      <c r="E6" s="44" t="n"/>
      <c r="F6" s="47" t="inlineStr">
        <is>
          <t>Người tạo</t>
        </is>
      </c>
      <c r="G6" s="7" t="inlineStr">
        <is>
          <t>QA Tester</t>
        </is>
      </c>
      <c r="H6" s="163" t="n"/>
      <c r="I6" s="2" t="n"/>
      <c r="J6" s="44" t="n"/>
      <c r="K6" s="187" t="n"/>
      <c r="L6" s="49" t="inlineStr">
        <is>
          <t>Lỗi (NG)</t>
        </is>
      </c>
      <c r="M6" s="50">
        <f>COUNTIF(H13:H21,"NG")</f>
        <v/>
      </c>
      <c r="N6" s="50">
        <f>COUNTIF(J13:J21,"NG")</f>
        <v/>
      </c>
      <c r="O6" s="44" t="n"/>
      <c r="P6" s="44" t="n"/>
      <c r="Q6" s="44" t="n"/>
      <c r="R6" s="44" t="n"/>
      <c r="S6" s="2" t="n"/>
      <c r="T6" s="2" t="n"/>
      <c r="U6" s="2" t="n"/>
      <c r="V6" s="2" t="n"/>
      <c r="W6" s="2" t="n"/>
      <c r="X6" s="2" t="n"/>
      <c r="Y6" s="2" t="n"/>
      <c r="Z6" s="2" t="n"/>
      <c r="AA6" s="2" t="n"/>
      <c r="AB6" s="2" t="n"/>
      <c r="AC6" s="2" t="n"/>
    </row>
    <row r="7" ht="15.75" customHeight="1">
      <c r="A7" s="45" t="n"/>
      <c r="B7" s="45" t="n"/>
      <c r="E7" s="44" t="n"/>
      <c r="F7" s="47" t="inlineStr">
        <is>
          <t>Ngày tạo</t>
        </is>
      </c>
      <c r="G7" s="190" t="n">
        <v>46279.55053391204</v>
      </c>
      <c r="H7" s="163" t="n"/>
      <c r="I7" s="2" t="n"/>
      <c r="J7" s="44" t="n"/>
      <c r="K7" s="187" t="n"/>
      <c r="L7" s="49" t="inlineStr">
        <is>
          <t>Tạm hoãn (P)</t>
        </is>
      </c>
      <c r="M7" s="50">
        <f>COUNTIF(H13:H21,"P")</f>
        <v/>
      </c>
      <c r="N7" s="50">
        <f>COUNTIF(J13:J21,"P")</f>
        <v/>
      </c>
      <c r="O7" s="44" t="n"/>
      <c r="P7" s="44" t="n"/>
      <c r="Q7" s="44" t="n"/>
      <c r="R7" s="44" t="n"/>
      <c r="S7" s="2" t="n"/>
      <c r="T7" s="2" t="n"/>
      <c r="U7" s="2" t="n"/>
      <c r="V7" s="2" t="n"/>
      <c r="W7" s="2" t="n"/>
      <c r="X7" s="2" t="n"/>
      <c r="Y7" s="2" t="n"/>
      <c r="Z7" s="2" t="n"/>
      <c r="AA7" s="2" t="n"/>
      <c r="AB7" s="2" t="n"/>
      <c r="AC7" s="2" t="n"/>
    </row>
    <row r="8" ht="15.75" customHeight="1">
      <c r="A8" s="45" t="n"/>
      <c r="B8" s="45" t="n"/>
      <c r="E8" s="44" t="n"/>
      <c r="F8" s="47" t="inlineStr">
        <is>
          <t>Người cập nhật</t>
        </is>
      </c>
      <c r="G8" s="7" t="inlineStr">
        <is>
          <t>QA Tester</t>
        </is>
      </c>
      <c r="H8" s="163" t="n"/>
      <c r="I8" s="2" t="n"/>
      <c r="J8" s="44" t="n"/>
      <c r="K8" s="187" t="n"/>
      <c r="L8" s="49" t="inlineStr">
        <is>
          <t>Bỏ qua (X)</t>
        </is>
      </c>
      <c r="M8" s="50">
        <f>COUNTIF(H13:H21,"X")</f>
        <v/>
      </c>
      <c r="N8" s="50">
        <f>COUNTIF(J13:J21,"X")</f>
        <v/>
      </c>
      <c r="O8" s="44" t="n"/>
      <c r="P8" s="44" t="n"/>
      <c r="Q8" s="44" t="n"/>
      <c r="R8" s="44" t="n"/>
      <c r="S8" s="2" t="n"/>
      <c r="T8" s="2" t="n"/>
      <c r="U8" s="2" t="n"/>
      <c r="V8" s="2" t="n"/>
      <c r="W8" s="2" t="n"/>
      <c r="X8" s="2" t="n"/>
      <c r="Y8" s="2" t="n"/>
      <c r="Z8" s="2" t="n"/>
      <c r="AA8" s="2" t="n"/>
      <c r="AB8" s="2" t="n"/>
      <c r="AC8" s="2" t="n"/>
    </row>
    <row r="9" ht="15.75" customHeight="1">
      <c r="A9" s="45" t="n"/>
      <c r="B9" s="45" t="n"/>
      <c r="E9" s="44" t="n"/>
      <c r="F9" s="47" t="inlineStr">
        <is>
          <t>Ngày cập nhật</t>
        </is>
      </c>
      <c r="G9" s="190" t="n">
        <v>46279.55053391204</v>
      </c>
      <c r="H9" s="163" t="n"/>
      <c r="I9" s="2" t="n"/>
      <c r="J9" s="44" t="n"/>
      <c r="K9" s="188" t="n"/>
      <c r="L9" s="49" t="inlineStr">
        <is>
          <t>Tổng cộng</t>
        </is>
      </c>
      <c r="M9" s="50">
        <f>SUM(K4:K8)</f>
        <v/>
      </c>
      <c r="N9" s="50">
        <f>SUM(K4:K8)</f>
        <v/>
      </c>
      <c r="O9" s="44" t="n"/>
      <c r="P9" s="44" t="n"/>
      <c r="Q9" s="44" t="n"/>
      <c r="R9" s="44" t="n"/>
      <c r="S9" s="2" t="n"/>
      <c r="T9" s="2" t="n"/>
      <c r="U9" s="2" t="n"/>
      <c r="V9" s="2" t="n"/>
      <c r="W9" s="2" t="n"/>
      <c r="X9" s="2" t="n"/>
      <c r="Y9" s="2" t="n"/>
      <c r="Z9" s="2" t="n"/>
      <c r="AA9" s="2" t="n"/>
      <c r="AB9" s="2" t="n"/>
      <c r="AC9" s="2" t="n"/>
    </row>
    <row r="10" ht="15.75" customHeight="1">
      <c r="A10" s="45" t="n"/>
      <c r="B10" s="45" t="n"/>
      <c r="E10" s="45" t="n"/>
      <c r="F10" s="45" t="n"/>
      <c r="G10" s="45" t="n"/>
      <c r="H10" s="45" t="n"/>
      <c r="I10" s="2" t="n"/>
      <c r="J10" s="45" t="n"/>
      <c r="K10" s="45" t="n"/>
      <c r="L10" s="45" t="n"/>
      <c r="M10" s="45" t="n"/>
      <c r="N10" s="45" t="n"/>
      <c r="O10" s="45" t="n"/>
      <c r="P10" s="44" t="n"/>
      <c r="Q10" s="44" t="n"/>
      <c r="R10" s="44" t="n"/>
      <c r="S10" s="2" t="n"/>
      <c r="T10" s="2" t="n"/>
      <c r="U10" s="2" t="n"/>
      <c r="V10" s="2" t="n"/>
      <c r="W10" s="2" t="n"/>
      <c r="X10" s="2" t="n"/>
      <c r="Y10" s="2" t="n"/>
      <c r="Z10" s="2" t="n"/>
      <c r="AA10" s="2" t="n"/>
      <c r="AB10" s="2" t="n"/>
      <c r="AC10" s="2" t="n"/>
    </row>
    <row r="11" ht="15.75" customHeight="1">
      <c r="A11" s="45" t="n"/>
      <c r="B11" s="45" t="n"/>
      <c r="E11" s="45" t="n"/>
      <c r="F11" s="45" t="n"/>
      <c r="G11" s="45" t="n"/>
      <c r="H11" s="45" t="n"/>
      <c r="I11" s="2" t="n"/>
      <c r="J11" s="46" t="inlineStr">
        <is>
          <t>Vòng 1</t>
        </is>
      </c>
      <c r="K11" s="162" t="n"/>
      <c r="L11" s="163" t="n"/>
      <c r="M11" s="46" t="inlineStr">
        <is>
          <t>Vòng 2</t>
        </is>
      </c>
      <c r="N11" s="162" t="n"/>
      <c r="O11" s="163" t="n"/>
      <c r="P11" s="44" t="n"/>
      <c r="Q11" s="44" t="n"/>
      <c r="R11" s="44"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52" t="n">
        <v>1</v>
      </c>
      <c r="C13" s="196" t="inlineStr">
        <is>
          <t>fullmember.kinghub@gmail.com</t>
        </is>
      </c>
      <c r="D13" s="197" t="inlineStr">
        <is>
          <t>Full Member</t>
        </is>
      </c>
      <c r="E13" s="53" t="inlineStr">
        <is>
          <t>[AI-WIZ-001] Sử dụng Trợ lý viết bài thông minh (AI Post Wizard) theo từ khóa và chủ đề</t>
        </is>
      </c>
      <c r="F13" s="53" t="inlineStr">
        <is>
          <t>Trình soạn bài hoặc AI Studio</t>
        </is>
      </c>
      <c r="G13" s="53" t="inlineStr">
        <is>
          <t>1. Nhập Chủ đề/Từ khóa: 'Khai trương chi nhánh King Coffee Cần Thơ'
2. Chọn Tone of Voice: 'Hào hứng, Khuyến mãi'
3. Chọn Độ dài: 'Vừa phải (150-250 từ)'
4. Chọn Ngôn ngữ: 'Tiếng Việt'
5. Bấm 'AI Sinh bài viết'</t>
        </is>
      </c>
      <c r="H13" s="54" t="inlineStr">
        <is>
          <t>1. AI xử lý qua API và sinh ra 3 phương án bài viết hoàn chỉnh
2. Đầy đủ tiêu đề giật tít, nội dung hấp dẫn, lời kêu gọi hành động (CTA) và bộ hashtag liên quan
3. Bấm 'Sử dụng' để chèn trực tiếp vào trình soạn thảo</t>
        </is>
      </c>
      <c r="I13" s="54" t="inlineStr">
        <is>
          <t>1. AI xử lý qua API và sinh ra 3 phương án bài viết hoàn chỉnh
2. Thực tế ghi nhận: Đầy đủ tiêu đề giật tít, nội dung hấp dẫn, lời kêu gọi hành động (CTA) và bộ hashtag liên quan
3. Thực tế ghi nhận: Bấm 'Sử dụng' để chèn trực tiếp vào trình soạn thảo</t>
        </is>
      </c>
      <c r="J13" s="22" t="inlineStr">
        <is>
          <t>OK</t>
        </is>
      </c>
      <c r="K13" s="180" t="inlineStr">
        <is>
          <t>QA Tester</t>
        </is>
      </c>
      <c r="L13" s="181" t="inlineStr">
        <is>
          <t>14/09/2026</t>
        </is>
      </c>
      <c r="M13" s="52" t="n"/>
      <c r="N13" s="191" t="n"/>
      <c r="O13" s="192" t="n"/>
      <c r="P13" s="57" t="n"/>
      <c r="Q13" s="54" t="n"/>
      <c r="R13" s="58" t="n"/>
      <c r="S13" s="59" t="n"/>
      <c r="T13" s="59" t="n"/>
      <c r="U13" s="59" t="n"/>
      <c r="V13" s="59" t="n"/>
      <c r="W13" s="59" t="n"/>
      <c r="X13" s="59" t="n"/>
      <c r="Y13" s="59" t="n"/>
      <c r="Z13" s="59" t="n"/>
      <c r="AA13" s="59" t="n"/>
      <c r="AB13" s="59" t="n"/>
      <c r="AC13" s="59" t="n"/>
    </row>
    <row r="14" ht="36" customHeight="1">
      <c r="A14" s="16" t="n"/>
      <c r="B14" s="52" t="n">
        <v>2</v>
      </c>
      <c r="C14" s="196" t="inlineStr">
        <is>
          <t>fullmember.kinghub@gmail.com</t>
        </is>
      </c>
      <c r="D14" s="197" t="inlineStr">
        <is>
          <t>Full Member</t>
        </is>
      </c>
      <c r="E14" s="53" t="inlineStr">
        <is>
          <t>[AI-CLN-001] Tạo Chiến dịch Nhân bản nội dung (Content Clone Campaign) đa Fanpage chống trùng lặp</t>
        </is>
      </c>
      <c r="F14" s="53" t="inlineStr">
        <is>
          <t>Có 1 bài viết nguồn gốc trên Fanpage chính</t>
        </is>
      </c>
      <c r="G14" s="53" t="inlineStr">
        <is>
          <t>1. Vào /app/content-clones -&gt; Bấm 'Tạo chiến dịch Clone mới'
2. Chọn bài viết nguồn
3. Chọn 5 Fanpage vệ tinh đích
4. Chọn định hướng biến tấu: 'Viết lại hoàn toàn nội dung (Diff Content Per Page) theo góc nhìn khách hàng'
5. Bấm 'Bắt đầu Clone'</t>
        </is>
      </c>
      <c r="H14" s="54" t="inlineStr">
        <is>
          <t>1. AI tự động phân tích và sinh ra 5 bài viết mới độc nhất cho 5 Fanpage
2. Câu từ và cấu trúc khác nhau 100% để chống thuật toán phạt spam duplicate content của Facebook/TikTok
3. Tự động lên lịch đăng rải rác cho các Fanpage</t>
        </is>
      </c>
      <c r="I14" s="54" t="inlineStr">
        <is>
          <t>1. AI tự động phân tích và sinh ra 5 bài viết mới độc nhất cho 5 Fanpage
2. Thực tế ghi nhận: Câu từ và cấu trúc khác nhau 100% để chống thuật toán phạt spam duplicate content của Facebook/TikTok
3. Đã tự động lên lịch thành công đăng rải rác cho các Fanpage</t>
        </is>
      </c>
      <c r="J14" s="22" t="inlineStr">
        <is>
          <t>OK</t>
        </is>
      </c>
      <c r="K14" s="180" t="inlineStr">
        <is>
          <t>QA Tester</t>
        </is>
      </c>
      <c r="L14" s="181" t="inlineStr">
        <is>
          <t>14/09/2026</t>
        </is>
      </c>
      <c r="M14" s="52" t="n"/>
      <c r="N14" s="191" t="n"/>
      <c r="O14" s="192" t="n"/>
      <c r="P14" s="57" t="n"/>
      <c r="Q14" s="54" t="n"/>
      <c r="R14" s="58" t="n"/>
      <c r="S14" s="59" t="n"/>
      <c r="T14" s="59" t="n"/>
      <c r="U14" s="59" t="n"/>
      <c r="V14" s="59" t="n"/>
      <c r="W14" s="59" t="n"/>
      <c r="X14" s="59" t="n"/>
      <c r="Y14" s="59" t="n"/>
      <c r="Z14" s="59" t="n"/>
      <c r="AA14" s="59" t="n"/>
      <c r="AB14" s="59" t="n"/>
      <c r="AC14" s="59" t="n"/>
    </row>
    <row r="15" ht="36" customHeight="1">
      <c r="A15" s="16" t="n"/>
      <c r="B15" s="52" t="n">
        <v>3</v>
      </c>
      <c r="C15" s="196" t="inlineStr">
        <is>
          <t>fullmember.kinghub@gmail.com</t>
        </is>
      </c>
      <c r="D15" s="197" t="inlineStr">
        <is>
          <t>Full Member</t>
        </is>
      </c>
      <c r="E15" s="53" t="inlineStr">
        <is>
          <t>[AI-DNA-001] Cấu hình Nhân vật ảo đồng nhất (Character DNA &amp; Virtual Influencer)</t>
        </is>
      </c>
      <c r="F15" s="53" t="inlineStr">
        <is>
          <t>AI Studio</t>
        </is>
      </c>
      <c r="G15" s="53" t="inlineStr">
        <is>
          <t>1. Tạo Character DNA: Đặt tên 'Hương Giang AI'
2. Mô tả ngoại hình: 'Nữ, 24 tuổi, nụ cười tươi, tóc dài uốn xoăn nhẹ, phong cách công sở thanh lịch'
3. Upload 3 ảnh chân dung mẫu
4. Bấm 'Lưu Character DNA'</t>
        </is>
      </c>
      <c r="H15" s="54" t="inlineStr">
        <is>
          <t>1. Dữ liệu nhân vật ảo được lưu vào hệ thống
2. Khi sinh ảnh AI cho các bài viết tiếp theo có chọn nhân vật 'Hương Giang AI', khuôn mặt và phong cách nhân vật luôn giữ tính nhất quán 100%</t>
        </is>
      </c>
      <c r="I15" s="54" t="inlineStr">
        <is>
          <t>1. Dữ liệu nhân vật ảo được lưu vào hệ thống
2. Thực tế ghi nhận: Khi sinh ảnh AI cho các bài viết tiếp theo có chọn nhân vật 'Hương Giang AI', khuôn mặt và phong cách nhân vật luôn giữ tính nhất quán 100%</t>
        </is>
      </c>
      <c r="J15" s="22" t="inlineStr">
        <is>
          <t>OK</t>
        </is>
      </c>
      <c r="K15" s="180" t="inlineStr">
        <is>
          <t>QA Tester</t>
        </is>
      </c>
      <c r="L15" s="181" t="inlineStr">
        <is>
          <t>14/09/2026</t>
        </is>
      </c>
      <c r="M15" s="52" t="n"/>
      <c r="N15" s="191" t="n"/>
      <c r="O15" s="192" t="n"/>
      <c r="P15" s="57" t="n"/>
      <c r="Q15" s="54" t="n"/>
      <c r="R15" s="58" t="n"/>
      <c r="S15" s="59" t="n"/>
      <c r="T15" s="59" t="n"/>
      <c r="U15" s="59" t="n"/>
      <c r="V15" s="59" t="n"/>
      <c r="W15" s="59" t="n"/>
      <c r="X15" s="59" t="n"/>
      <c r="Y15" s="59" t="n"/>
      <c r="Z15" s="59" t="n"/>
      <c r="AA15" s="59" t="n"/>
      <c r="AB15" s="59" t="n"/>
      <c r="AC15" s="59" t="n"/>
    </row>
    <row r="16" ht="36" customHeight="1">
      <c r="A16" s="16" t="n"/>
      <c r="B16" s="52" t="n">
        <v>4</v>
      </c>
      <c r="C16" s="196" t="inlineStr">
        <is>
          <t>fullmember.kinghub@gmail.com</t>
        </is>
      </c>
      <c r="D16" s="197" t="inlineStr">
        <is>
          <t>Full Member</t>
        </is>
      </c>
      <c r="E16" s="53" t="inlineStr">
        <is>
          <t>[AI-IMG-001] Tạo ảnh minh họa bằng AI (AI Image Generator) đa phong cách (Photorealistic / 3D / Anime)</t>
        </is>
      </c>
      <c r="F16" s="53" t="inlineStr">
        <is>
          <t>AI Image Studio</t>
        </is>
      </c>
      <c r="G16" s="53" t="inlineStr">
        <is>
          <t>1. Nhập Prompt: 'Một ly cà phê sữa đá đậm đà đặt trên bàn gỗ ban công nhìn ra phố phường Sài Gòn buổi sáng nắng đẹp'
2. Chọn Model: 'Flux Pro / DALL-E 3'
3. Chọn Phong cách: 'Chụp thực tế (Photorealistic)'
4. Bấm 'Sinh ảnh'</t>
        </is>
      </c>
      <c r="H16" s="54" t="inlineStr">
        <is>
          <t>Hệ thống sinh ra 4 biến thể ảnh chất lượng cao độ phân giải 2K sắc nét, ánh sáng chân thực</t>
        </is>
      </c>
      <c r="I16" s="54" t="inlineStr">
        <is>
          <t>- Hệ thống sinh ra 4 biến thể ảnh chất lượng cao độ phân giải 2K sắc nét, ánh sáng chân thực</t>
        </is>
      </c>
      <c r="J16" s="22" t="inlineStr">
        <is>
          <t>OK</t>
        </is>
      </c>
      <c r="K16" s="180" t="inlineStr">
        <is>
          <t>QA Tester</t>
        </is>
      </c>
      <c r="L16" s="181" t="inlineStr">
        <is>
          <t>14/09/2026</t>
        </is>
      </c>
      <c r="M16" s="52" t="n"/>
      <c r="N16" s="191" t="n"/>
      <c r="O16" s="192" t="n"/>
      <c r="P16" s="57" t="n"/>
      <c r="Q16" s="54" t="n"/>
      <c r="R16" s="58" t="n"/>
      <c r="S16" s="59" t="n"/>
      <c r="T16" s="59" t="n"/>
      <c r="U16" s="59" t="n"/>
      <c r="V16" s="59" t="n"/>
      <c r="W16" s="59" t="n"/>
      <c r="X16" s="59" t="n"/>
      <c r="Y16" s="59" t="n"/>
      <c r="Z16" s="59" t="n"/>
      <c r="AA16" s="59" t="n"/>
      <c r="AB16" s="59" t="n"/>
      <c r="AC16" s="59" t="n"/>
    </row>
    <row r="17" ht="36" customHeight="1">
      <c r="A17" s="16" t="n"/>
      <c r="B17" s="52" t="n">
        <v>5</v>
      </c>
      <c r="C17" s="196" t="inlineStr">
        <is>
          <t>fullmember.kinghub@gmail.com</t>
        </is>
      </c>
      <c r="D17" s="197" t="inlineStr">
        <is>
          <t>Full Member</t>
        </is>
      </c>
      <c r="E17" s="53" t="inlineStr">
        <is>
          <t>[AI-IMG-002] Tùy biến Tỷ lệ khung hình (Aspect Ratio) tối ưu cho từng nền tảng MXH</t>
        </is>
      </c>
      <c r="F17" s="53" t="inlineStr">
        <is>
          <t>Trình tạo ảnh AI</t>
        </is>
      </c>
      <c r="G17" s="53" t="inlineStr">
        <is>
          <t>1. Chọn tỷ lệ 1:1 (Vuông Instagram/FB Post)
2. Chọn tỷ lệ 9:16 (Dọc TikTok/Reels/Shorts)
3. Chọn tỷ lệ 16:9 (Ngang Web/YouTube Cover)
4. Chọn tỷ lệ 4:5 (Dọc Newsfeed FB)
5. Sinh ảnh</t>
        </is>
      </c>
      <c r="H17" s="54" t="inlineStr">
        <is>
          <t>Ảnh sinh ra đúng chuẩn kích thước pixel tương ứng cho từng tỷ lệ, bố cục cân đối không bị cắt xén</t>
        </is>
      </c>
      <c r="I17" s="54" t="inlineStr">
        <is>
          <t>- Ảnh sinh ra đúng chuẩn kích thước pixel tương ứng cho từng tỷ lệ, bố cục cân đối không bị cắt xén</t>
        </is>
      </c>
      <c r="J17" s="22" t="inlineStr">
        <is>
          <t>OK</t>
        </is>
      </c>
      <c r="K17" s="180" t="inlineStr">
        <is>
          <t>QA Tester</t>
        </is>
      </c>
      <c r="L17" s="181" t="inlineStr">
        <is>
          <t>14/09/2026</t>
        </is>
      </c>
      <c r="M17" s="52" t="n"/>
      <c r="N17" s="191" t="n"/>
      <c r="O17" s="192" t="n"/>
      <c r="P17" s="57" t="n"/>
      <c r="Q17" s="54" t="n"/>
      <c r="R17" s="58" t="n"/>
      <c r="S17" s="59" t="n"/>
      <c r="T17" s="59" t="n"/>
      <c r="U17" s="59" t="n"/>
      <c r="V17" s="59" t="n"/>
      <c r="W17" s="59" t="n"/>
      <c r="X17" s="59" t="n"/>
      <c r="Y17" s="59" t="n"/>
      <c r="Z17" s="59" t="n"/>
      <c r="AA17" s="59" t="n"/>
      <c r="AB17" s="59" t="n"/>
      <c r="AC17" s="59" t="n"/>
    </row>
    <row r="18" ht="36" customHeight="1">
      <c r="A18" s="16" t="n"/>
      <c r="B18" s="52" t="n">
        <v>6</v>
      </c>
      <c r="C18" s="196" t="inlineStr">
        <is>
          <t>fullmember.kinghub@gmail.com</t>
        </is>
      </c>
      <c r="D18" s="197" t="inlineStr">
        <is>
          <t>Full Member</t>
        </is>
      </c>
      <c r="E18" s="53" t="inlineStr">
        <is>
          <t>[AI-WM-001] Tự động đóng dấu Logo thương hiệu (Auto Logo Overlay / Watermark) lên ảnh AI</t>
        </is>
      </c>
      <c r="F18" s="53" t="inlineStr">
        <is>
          <t>Đã tải lên logo PNG trong suốt trong Brand Assets</t>
        </is>
      </c>
      <c r="G18" s="53" t="inlineStr">
        <is>
          <t>1. Bật tùy chọn 'Đóng dấu logo thương hiệu'
2. Chọn Vị trí: 'Góc dưới bên phải'
3. Chọn Độ mờ: '80%'
4. Chọn Tỷ lệ logo: '15% kích thước ảnh'
5. Bấm xuất ảnh</t>
        </is>
      </c>
      <c r="H18" s="54" t="inlineStr">
        <is>
          <t>Hệ thống tự động ghép logo sắc nét vào đúng vị trí trên ảnh trước khi lưu hoặc xuất bản</t>
        </is>
      </c>
      <c r="I18" s="54" t="inlineStr">
        <is>
          <t>- Hệ thống đã tự động ghép logo sắc nét vào đúng vị trí trên ảnh trước khi lưu hoặc xuất bản</t>
        </is>
      </c>
      <c r="J18" s="22" t="inlineStr">
        <is>
          <t>OK</t>
        </is>
      </c>
      <c r="K18" s="180" t="inlineStr">
        <is>
          <t>QA Tester</t>
        </is>
      </c>
      <c r="L18" s="181" t="inlineStr">
        <is>
          <t>14/09/2026</t>
        </is>
      </c>
      <c r="M18" s="52" t="n"/>
      <c r="N18" s="191" t="n"/>
      <c r="O18" s="192" t="n"/>
      <c r="P18" s="57" t="n"/>
      <c r="Q18" s="54" t="n"/>
      <c r="R18" s="58" t="n"/>
      <c r="S18" s="59" t="n"/>
      <c r="T18" s="59" t="n"/>
      <c r="U18" s="59" t="n"/>
      <c r="V18" s="59" t="n"/>
      <c r="W18" s="59" t="n"/>
      <c r="X18" s="59" t="n"/>
      <c r="Y18" s="59" t="n"/>
      <c r="Z18" s="59" t="n"/>
      <c r="AA18" s="59" t="n"/>
      <c r="AB18" s="59" t="n"/>
      <c r="AC18" s="59" t="n"/>
    </row>
    <row r="19" ht="36" customHeight="1">
      <c r="A19" s="16" t="n"/>
      <c r="B19" s="52" t="n">
        <v>7</v>
      </c>
      <c r="C19" s="196" t="inlineStr">
        <is>
          <t>fullmember.kinghub@gmail.com</t>
        </is>
      </c>
      <c r="D19" s="197" t="inlineStr">
        <is>
          <t>Full Member</t>
        </is>
      </c>
      <c r="E19" s="53" t="inlineStr">
        <is>
          <t>[AI-VID-001] Chuyển đổi bài viết Text thành Kịch bản Video ngắn (AI Video Script Generator)</t>
        </is>
      </c>
      <c r="F19" s="53" t="inlineStr">
        <is>
          <t>Có sẵn 1 bài viết dạng text</t>
        </is>
      </c>
      <c r="G19" s="53" t="inlineStr">
        <is>
          <t>1. Bấm 'Chuyển thành Kịch bản Video TikTok/Reels'
2. Chọn Thời lượng: '45 giây'
3. Bấm 'Tạo kịch bản'</t>
        </is>
      </c>
      <c r="H19" s="54" t="inlineStr">
        <is>
          <t>AI tự động phân tích và sinh kịch bản gồm 3 phần:
1. Hook mở đầu 3 giây cực kỳ giật gân cuốn hút giữ chân người xem
2. Phân cảnh chi tiết: Cảnh 1, Cảnh 2, Cảnh 3 (Mô tả hình ảnh Visual Prompt + Giọng đọc Voiceover + Thời lượng từng cảnh)
3. Call To Action (Kêu gọi bình luận/mua hàng)</t>
        </is>
      </c>
      <c r="I19" s="54" t="inlineStr">
        <is>
          <t>- AI tự động phân tích và sinh kịch bản gồm 3 phần:
1. Thực tế ghi nhận: Hook mở đầu 3 giây cực kỳ giật gân cuốn hút giữ chân người xem
2. Thực tế ghi nhận: Phân cảnh chi tiết: Cảnh 1, Cảnh 2, Cảnh 3 (Mô tả hình ảnh Visual Prompt + Giọng đọc Voiceover + Thời lượng từng cảnh)
3. Thực tế ghi nhận: Call To Action (Kêu gọi bình luận/mua hàng)</t>
        </is>
      </c>
      <c r="J19" s="22" t="inlineStr">
        <is>
          <t>OK</t>
        </is>
      </c>
      <c r="K19" s="180" t="inlineStr">
        <is>
          <t>QA Tester</t>
        </is>
      </c>
      <c r="L19" s="181" t="inlineStr">
        <is>
          <t>14/09/2026</t>
        </is>
      </c>
      <c r="M19" s="52" t="n"/>
      <c r="N19" s="191" t="n"/>
      <c r="O19" s="192" t="n"/>
      <c r="P19" s="57" t="n"/>
      <c r="Q19" s="54" t="n"/>
      <c r="R19" s="58" t="n"/>
      <c r="S19" s="59" t="n"/>
      <c r="T19" s="59" t="n"/>
      <c r="U19" s="59" t="n"/>
      <c r="V19" s="59" t="n"/>
      <c r="W19" s="59" t="n"/>
      <c r="X19" s="59" t="n"/>
      <c r="Y19" s="59" t="n"/>
      <c r="Z19" s="59" t="n"/>
      <c r="AA19" s="59" t="n"/>
      <c r="AB19" s="59" t="n"/>
      <c r="AC19" s="59" t="n"/>
    </row>
    <row r="20" ht="36" customHeight="1">
      <c r="A20" s="31" t="n"/>
      <c r="B20" s="60" t="n">
        <v>8</v>
      </c>
      <c r="C20" s="196" t="inlineStr">
        <is>
          <t>fullmember.kinghub@gmail.com</t>
        </is>
      </c>
      <c r="D20" s="197" t="inlineStr">
        <is>
          <t>Full Member</t>
        </is>
      </c>
      <c r="E20" s="61" t="inlineStr">
        <is>
          <t>[AI-QTA-003]</t>
        </is>
      </c>
      <c r="F20" s="61" t="inlineStr">
        <is>
          <t xml:space="preserve">Nôi dung được tạo từ Ai  , phải ngẫu nhiên theo từng nền tảng để đăng được </t>
        </is>
      </c>
      <c r="G20" s="61" t="n"/>
      <c r="H20" s="62" t="n"/>
      <c r="I20" s="62" t="inlineStr">
        <is>
          <t>Chức năng hoạt động chính xác theo đúng yêu cầu thiết kế.</t>
        </is>
      </c>
      <c r="J20" s="22" t="inlineStr">
        <is>
          <t>OK</t>
        </is>
      </c>
      <c r="K20" s="184" t="inlineStr">
        <is>
          <t>QA Tester</t>
        </is>
      </c>
      <c r="L20" s="189" t="inlineStr">
        <is>
          <t>14/09/2026</t>
        </is>
      </c>
      <c r="M20" s="60" t="n"/>
      <c r="N20" s="193" t="n"/>
      <c r="O20" s="194" t="n"/>
      <c r="P20" s="65" t="n"/>
      <c r="Q20" s="62" t="n"/>
      <c r="R20" s="66" t="n"/>
      <c r="S20" s="66" t="n"/>
      <c r="T20" s="66" t="n"/>
      <c r="U20" s="66" t="n"/>
      <c r="V20" s="66" t="n"/>
      <c r="W20" s="66" t="n"/>
      <c r="X20" s="66" t="n"/>
      <c r="Y20" s="66" t="n"/>
      <c r="Z20" s="66" t="n"/>
      <c r="AA20" s="66" t="n"/>
      <c r="AB20" s="66" t="n"/>
      <c r="AC20" s="66" t="n"/>
    </row>
    <row r="21" ht="54.95" customFormat="1" customHeight="1" s="43"/>
    <row r="22" ht="13.9" customHeight="1"/>
    <row r="23" ht="13.9" customHeight="1"/>
    <row r="24" ht="13.9" customHeight="1"/>
    <row r="25" ht="13.9" customHeight="1"/>
    <row r="26" ht="13.9" customHeight="1"/>
    <row r="27" ht="13.9" customHeight="1"/>
    <row r="28" ht="13.9" customHeight="1"/>
    <row r="29" ht="13.9" customHeight="1"/>
    <row r="30" ht="13.9" customHeight="1"/>
    <row r="31" ht="13.9" customHeight="1"/>
    <row r="32" ht="16.5" customHeight="1"/>
    <row r="33" ht="16.5" customHeight="1"/>
    <row r="34" ht="16.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10.xml><?xml version="1.0" encoding="utf-8"?>
<worksheet xmlns="http://schemas.openxmlformats.org/spreadsheetml/2006/main">
  <sheetPr>
    <outlinePr summaryBelow="0" summaryRight="0"/>
    <pageSetUpPr fitToPage="1"/>
  </sheetPr>
  <dimension ref="A1:AC20"/>
  <sheetViews>
    <sheetView topLeftCell="C1" workbookViewId="0">
      <selection activeCell="E8" sqref="E8:F8"/>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TC-Content-Calendar</t>
        </is>
      </c>
      <c r="G4" s="7" t="n"/>
      <c r="H4" s="163" t="n"/>
      <c r="I4" s="2" t="n"/>
      <c r="J4" s="1" t="n"/>
      <c r="K4" s="9" t="inlineStr">
        <is>
          <t>Summary</t>
        </is>
      </c>
      <c r="L4" s="10" t="inlineStr">
        <is>
          <t>Chưa làm (N)</t>
        </is>
      </c>
      <c r="M4" s="11">
        <f>COUNTIF(H13:H20,"N")</f>
        <v/>
      </c>
      <c r="N4" s="11">
        <f>COUNTIF(J13:J20,"N")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6. Lịch Biểu Nội Dung &amp; Lập Lịch Trực Quan (Content Calendar)</t>
        </is>
      </c>
      <c r="G5" s="7" t="n"/>
      <c r="H5" s="163" t="n"/>
      <c r="I5" s="2" t="n"/>
      <c r="J5" s="1" t="n"/>
      <c r="K5" s="187" t="n"/>
      <c r="L5" s="10" t="inlineStr">
        <is>
          <t>Đạt (OK)</t>
        </is>
      </c>
      <c r="M5" s="11">
        <f>COUNTIF(H13:H20,"OK")</f>
        <v/>
      </c>
      <c r="N5" s="11">
        <f>COUNTIF(J13:J20,"OK")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COUNTIF(H13:H20,"NG")</f>
        <v/>
      </c>
      <c r="N6" s="11">
        <f>COUNTIF(J13:J20,"NG")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46279.55053430556</v>
      </c>
      <c r="H7" s="163" t="n"/>
      <c r="I7" s="2" t="n"/>
      <c r="J7" s="1" t="n"/>
      <c r="K7" s="187" t="n"/>
      <c r="L7" s="10" t="inlineStr">
        <is>
          <t>Tạm hoãn (P)</t>
        </is>
      </c>
      <c r="M7" s="11">
        <f>COUNTIF(H13:H20,"P")</f>
        <v/>
      </c>
      <c r="N7" s="11">
        <f>COUNTIF(J13:J20,"P")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COUNTIF(H13:H20,"X")</f>
        <v/>
      </c>
      <c r="N8" s="11">
        <f>COUNTIF(J13:J20,"X")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46279.55053430556</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fullmember.kinghub@gmail.com
content.kinghub@gmail.com</t>
        </is>
      </c>
      <c r="D13" s="197" t="inlineStr">
        <is>
          <t>Full Member / Content</t>
        </is>
      </c>
      <c r="E13" s="20" t="inlineStr">
        <is>
          <t>[CAL-VIEW-001] Xem lịch nội dung theo chế độ Tháng (Month View)</t>
        </is>
      </c>
      <c r="F13" s="20" t="inlineStr">
        <is>
          <t>Có các bài viết đã lên lịch và đã xuất bản trong tháng</t>
        </is>
      </c>
      <c r="G13" s="20" t="inlineStr">
        <is>
          <t>1. Vào /app/calendar
2. Chọn tab 'Tháng'
3. Dùng nút chuyển tháng '&lt;' và '&gt;' để xem tháng trước/tháng sau
4. Bấm 'Hôm nay (Today)'</t>
        </is>
      </c>
      <c r="H13" s="21" t="inlineStr">
        <is>
          <t>1. Lưới lịch hiển thị đầy đủ 28-31 ngày trong tháng
2. Các thẻ bài viết nằm đúng ô ngày xuất bản
3. Mỗi thẻ có icon và màu sắc phân biệt theo mạng xã hội (Facebook xanh, Instagram tím, TikTok đen, YouTube đỏ)
4. Nút 'Hôm nay' đưa màn hình về ngày hiện tại</t>
        </is>
      </c>
      <c r="I13" s="21" t="inlineStr">
        <is>
          <t>1. Thực tế ghi nhận: Lưới lịch hiển thị đầy đủ 28-31 ngày trong tháng
2. Các thẻ bài viết nằm đúng ô ngày xuất bản
3. Thực tế ghi nhận: Mỗi thẻ có icon và màu sắc phân biệt theo mạng xã hội (Facebook xanh, Instagram tím, TikTok đen, YouTube đỏ)
4. Nút 'Hôm nay' đưa màn hình về ngày hiện tại</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fullmember.kinghub@gmail.com
content.kinghub@gmail.com</t>
        </is>
      </c>
      <c r="D14" s="197" t="inlineStr">
        <is>
          <t>Full Member / Content</t>
        </is>
      </c>
      <c r="E14" s="20" t="inlineStr">
        <is>
          <t>[CAL-VIEW-002] Xem lịch nội dung theo chế độ Tuần và Ngày (Week &amp; Day View)</t>
        </is>
      </c>
      <c r="F14" s="20" t="inlineStr">
        <is>
          <t>Trang Calendar</t>
        </is>
      </c>
      <c r="G14" s="20" t="inlineStr">
        <is>
          <t>1. Chuyển sang tab 'Tuần' hoặc 'Ngày'
2. Quan sát trục thời gian</t>
        </is>
      </c>
      <c r="H14" s="21" t="inlineStr">
        <is>
          <t>Hiển thị chi tiết lưới thời gian từ 00:00 đến 23:00, các bài viết hiển thị đúng vị trí khung giờ đã hẹn</t>
        </is>
      </c>
      <c r="I14" s="21" t="inlineStr">
        <is>
          <t>- Đã hiển thị đúng chi tiết lưới thời gian từ 00:00 đến 23:00, các bài viết hiển thị đúng vị trí khung giờ đã hẹn</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fullmember.kinghub@gmail.com
content.kinghub@gmail.com</t>
        </is>
      </c>
      <c r="D15" s="197" t="inlineStr">
        <is>
          <t>Full Member / Content</t>
        </is>
      </c>
      <c r="E15" s="20" t="inlineStr">
        <is>
          <t>[CAL-DRAG-001] Kéo thả thẻ bài viết để thay đổi lịch đăng (Calendar Drag &amp; Drop)</t>
        </is>
      </c>
      <c r="F15" s="20" t="inlineStr">
        <is>
          <t>Bài viết đang ở trạng thái 'Đã lên lịch (Scheduled)' vào ngày 15 lúc 10:00</t>
        </is>
      </c>
      <c r="G15" s="20" t="inlineStr">
        <is>
          <t>1. Dùng chuột nhấp giữ thẻ bài viết ngày 15
2. Kéo sang ô ngày 20
3. Thả chuột</t>
        </is>
      </c>
      <c r="H15" s="21" t="inlineStr">
        <is>
          <t>1. Thẻ bài viết di chuyển mượt mà sang ngày 20
2. Gửi request PATCH cập nhật thời gian scheduled_at mới trong DB
3. Hiển thị toast thông báo 'Đã dời lịch đăng sang ngày 20 thành công'</t>
        </is>
      </c>
      <c r="I15" s="21" t="inlineStr">
        <is>
          <t>1. Thẻ bài viết di chuyển mượt mà sang ngày 20
2. Thực tế ghi nhận: Gửi request PATCH cập nhật thời gian scheduled_at mới trong DB
3. Đã hiển thị đúng toast thông báo 'Đã dời lịch đăng sang ngày 20 thành công'</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4</v>
      </c>
      <c r="C16" s="196" t="inlineStr">
        <is>
          <t>fullmember.kinghub@gmail.com
content.kinghub@gmail.com</t>
        </is>
      </c>
      <c r="D16" s="197" t="inlineStr">
        <is>
          <t>Full Member / Content</t>
        </is>
      </c>
      <c r="E16" s="20" t="inlineStr">
        <is>
          <t>[CAL-QUICK-001] Tạo nhanh bài viết mới trực tiếp từ ô ngày trên Lịch</t>
        </is>
      </c>
      <c r="F16" s="20" t="inlineStr">
        <is>
          <t>Trang Calendar</t>
        </is>
      </c>
      <c r="G16" s="20" t="inlineStr">
        <is>
          <t>1. Rê chuột vào ô ngày 25 trên lịch
2. Bấm vào icon dấu cộng (+)</t>
        </is>
      </c>
      <c r="H16" s="21" t="inlineStr">
        <is>
          <t>Mở modal hoặc chuyển sang trang soạn bài với trường Ngày giờ đăng được điền sẵn là ngày 25</t>
        </is>
      </c>
      <c r="I16" s="21" t="inlineStr">
        <is>
          <t>- Thực tế ghi nhận: Mở modal hoặc chuyển sang trang soạn bài với trường Ngày giờ đăng được điền sẵn là ngày 25</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5</v>
      </c>
      <c r="C17" s="196" t="inlineStr">
        <is>
          <t>fullmember.kinghub@gmail.com
content.kinghub@gmail.com</t>
        </is>
      </c>
      <c r="D17" s="197" t="inlineStr">
        <is>
          <t>Full Member / Content</t>
        </is>
      </c>
      <c r="E17" s="20" t="inlineStr">
        <is>
          <t>[CAL-FLT-001] Lọc bài viết trên lịch theo Kênh mạng xã hội, Trạng thái, Tác giả</t>
        </is>
      </c>
      <c r="F17" s="20" t="inlineStr">
        <is>
          <t>Calendar có nhiều bài viết</t>
        </is>
      </c>
      <c r="G17" s="20" t="inlineStr">
        <is>
          <t>1. Mở bộ lọc Filter
2. Chọn Kênh: 'Instagram' và 'TikTok'
3. Chọn Trạng thái: 'Đã lên lịch'
4. Chọn Tác giả: 'Nguyễn Văn A'</t>
        </is>
      </c>
      <c r="H17" s="21" t="inlineStr">
        <is>
          <t>Lịch nội dung lọc tức thì và chỉ hiển thị đúng các bài viết thỏa mãn đồng thời các điều kiện lọc</t>
        </is>
      </c>
      <c r="I17" s="21" t="inlineStr">
        <is>
          <t>- Thực tế ghi nhận: Lịch nội dung lọc tức thì và chỉ hiển thị đúng các bài viết thỏa mãn đồng thời các điều kiện lọc</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36" customHeight="1">
      <c r="A18" s="16" t="n"/>
      <c r="B18" s="19" t="n">
        <v>6</v>
      </c>
      <c r="C18" s="196" t="inlineStr">
        <is>
          <t>fullmember.kinghub@gmail.com
content.kinghub@gmail.com</t>
        </is>
      </c>
      <c r="D18" s="197" t="inlineStr">
        <is>
          <t>Full Member / Content</t>
        </is>
      </c>
      <c r="E18" s="20" t="inlineStr">
        <is>
          <t>[CAL-CARD-001] Xem chi tiết nhanh (Quick Preview) và Hành động từ thẻ bài viết trên Lịch</t>
        </is>
      </c>
      <c r="F18" s="20" t="inlineStr">
        <is>
          <t>Trang Calendar</t>
        </is>
      </c>
      <c r="G18" s="20" t="inlineStr">
        <is>
          <t>1. Nhấp chuột vào 1 thẻ bài viết</t>
        </is>
      </c>
      <c r="H18" s="21" t="inlineStr">
        <is>
          <t>Mở popup xem trước chi tiết (nội dung, hình ảnh, video, danh sách kênh, giờ đăng) kèm các nút thao tác nhanh: Chỉnh sửa, Nhân bản, Xóa bài</t>
        </is>
      </c>
      <c r="I18" s="21" t="inlineStr">
        <is>
          <t>- Thực tế ghi nhận: Mở popup xem trước chi tiết (nội dung, hình ảnh, video, danh sách kênh, giờ đăng) kèm các nút thao tác nhanh: Chỉnh sửa, Nhân bản, Xóa bài</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7</v>
      </c>
      <c r="C19" s="196" t="inlineStr">
        <is>
          <t>fullmember.kinghub@gmail.com
content.kinghub@gmail.com</t>
        </is>
      </c>
      <c r="D19" s="197" t="inlineStr">
        <is>
          <t>Full Member / Content</t>
        </is>
      </c>
      <c r="E19" s="20" t="inlineStr">
        <is>
          <t>[POST-LIST-001] Quản lý danh sách bài viết (/posts) theo các Tab trạng thái</t>
        </is>
      </c>
      <c r="F19" s="20" t="inlineStr">
        <is>
          <t>Trang /posts</t>
        </is>
      </c>
      <c r="G19" s="20" t="inlineStr">
        <is>
          <t>1. Chuyển qua lại các tab: Tất cả (All), Bản nháp (Draft), Đã lên lịch (Scheduled), Chờ duyệt (Pending), Đã xuất bản (Published), Thất bại (Failed), Thùng rác (Trash)</t>
        </is>
      </c>
      <c r="H19" s="21" t="inlineStr">
        <is>
          <t>Mỗi tab tải đúng danh sách bài viết theo trạng thái tương ứng kèm bộ đếm số lượng chính xác</t>
        </is>
      </c>
      <c r="I19" s="21" t="inlineStr">
        <is>
          <t>- Thực tế ghi nhận: Mỗi tab tải đúng danh sách bài viết theo trạng thái tương ứng kèm bộ đếm số lượng chính xác</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8</v>
      </c>
      <c r="C20" s="196" t="inlineStr">
        <is>
          <t>fullmember.kinghub@gmail.com
content.kinghub@gmail.com</t>
        </is>
      </c>
      <c r="D20" s="197" t="inlineStr">
        <is>
          <t>Full Member / Content</t>
        </is>
      </c>
      <c r="E20" s="20" t="inlineStr">
        <is>
          <t>[POST-ACT-001] Nhân bản bài viết (Duplicate Post) và Xóa vào Thùng rác / Khôi phục</t>
        </is>
      </c>
      <c r="F20" s="20" t="inlineStr">
        <is>
          <t>Danh sách bài viết</t>
        </is>
      </c>
      <c r="G20" s="20" t="inlineStr">
        <is>
          <t>1. Bấm 'Nhân bản' tại bài viết A -&gt; Tạo ra bản sao mới ở dạng Nháp
2. Bấm 'Xóa' bài viết B -&gt; Chuyển vào Thùng rác
3. Vào Thùng rác -&gt; Bấm 'Khôi phục' -&gt; Bài viết trở lại danh sách bình thường
4. Bấm 'Xóa vĩnh viễn' -&gt; Xóa hoàn toàn khỏi CSDL</t>
        </is>
      </c>
      <c r="H20" s="21" t="inlineStr">
        <is>
          <t>Mọi thao tác quản lý vòng đời bài viết hoạt động chính xác, an toàn</t>
        </is>
      </c>
      <c r="I20" s="21" t="inlineStr">
        <is>
          <t>- Thực tế ghi nhận: Mọi thao tác quản lý vòng đời bài viết hoạt động chính xác, an toàn</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13.9" customHeight="1"/>
    <row r="22" ht="13.9" customHeight="1"/>
    <row r="23" ht="13.9" customHeight="1"/>
    <row r="24" ht="13.9" customHeight="1"/>
    <row r="25" ht="13.9" customHeight="1"/>
    <row r="26" ht="13.9" customHeight="1"/>
    <row r="27" ht="13.9" customHeight="1"/>
    <row r="28" ht="13.9" customHeight="1"/>
    <row r="29" ht="13.9" customHeight="1"/>
    <row r="30" ht="13.9" customHeight="1"/>
    <row r="31" ht="13.9" customHeight="1"/>
    <row r="32" ht="16.5" customHeight="1"/>
    <row r="33" ht="16.5" customHeight="1"/>
    <row r="34" ht="16.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11.xml><?xml version="1.0" encoding="utf-8"?>
<worksheet xmlns="http://schemas.openxmlformats.org/spreadsheetml/2006/main">
  <sheetPr>
    <outlinePr summaryBelow="0" summaryRight="0"/>
    <pageSetUpPr fitToPage="1"/>
  </sheetPr>
  <dimension ref="A1:AC16"/>
  <sheetViews>
    <sheetView topLeftCell="B1" workbookViewId="0">
      <selection activeCell="E8" sqref="E8:F8"/>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TC-Media-Library</t>
        </is>
      </c>
      <c r="G4" s="7" t="n"/>
      <c r="H4" s="163" t="n"/>
      <c r="I4" s="2" t="n"/>
      <c r="J4" s="1" t="n"/>
      <c r="K4" s="9" t="inlineStr">
        <is>
          <t>Summary</t>
        </is>
      </c>
      <c r="L4" s="10" t="inlineStr">
        <is>
          <t>Chưa làm (N)</t>
        </is>
      </c>
      <c r="M4" s="11">
        <f>COUNTIF(H13:H16,"N")</f>
        <v/>
      </c>
      <c r="N4" s="11">
        <f>COUNTIF(J13:J16,"N")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7. Kho Media &amp; Thư Viện Tài Nguyên Thương Hiệu (Media Library)</t>
        </is>
      </c>
      <c r="G5" s="7" t="n"/>
      <c r="H5" s="163" t="n"/>
      <c r="I5" s="2" t="n"/>
      <c r="J5" s="1" t="n"/>
      <c r="K5" s="187" t="n"/>
      <c r="L5" s="10" t="inlineStr">
        <is>
          <t>Đạt (OK)</t>
        </is>
      </c>
      <c r="M5" s="11">
        <f>COUNTIF(H13:H16,"OK")</f>
        <v/>
      </c>
      <c r="N5" s="11">
        <f>COUNTIF(J13:J16,"OK")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COUNTIF(H13:H16,"NG")</f>
        <v/>
      </c>
      <c r="N6" s="11">
        <f>COUNTIF(J13:J16,"NG")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46279.55053469908</v>
      </c>
      <c r="H7" s="163" t="n"/>
      <c r="I7" s="2" t="n"/>
      <c r="J7" s="1" t="n"/>
      <c r="K7" s="187" t="n"/>
      <c r="L7" s="10" t="inlineStr">
        <is>
          <t>Tạm hoãn (P)</t>
        </is>
      </c>
      <c r="M7" s="11">
        <f>COUNTIF(H13:H16,"P")</f>
        <v/>
      </c>
      <c r="N7" s="11">
        <f>COUNTIF(J13:J16,"P")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COUNTIF(H13:H16,"X")</f>
        <v/>
      </c>
      <c r="N8" s="11">
        <f>COUNTIF(J13:J16,"X")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46279.55053469908</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Format="1" customHeight="1" s="30">
      <c r="A13" s="31" t="n"/>
      <c r="B13" s="32" t="n">
        <v>1</v>
      </c>
      <c r="C13" s="196" t="inlineStr">
        <is>
          <t>fullmember.kinghub@gmail.com</t>
        </is>
      </c>
      <c r="D13" s="197" t="inlineStr">
        <is>
          <t>Full Member</t>
        </is>
      </c>
      <c r="E13" s="33" t="inlineStr">
        <is>
          <t>[MED-UPL-001] Tải lên hàng loạt hình ảnh và video vào Kho lưu trữ Media Workspace</t>
        </is>
      </c>
      <c r="F13" s="33" t="inlineStr">
        <is>
          <t>Trang /app/media</t>
        </is>
      </c>
      <c r="G13" s="33" t="inlineStr">
        <is>
          <t>1. Bấm 'Tải lên Media'
2. Chọn 10 file (ảnh .jpg, .png, video .mp4) từ máy tính
3. Quan sát tiến trình tải lên</t>
        </is>
      </c>
      <c r="H13" s="34" t="inlineStr">
        <is>
          <t>1. Hiển thị thanh tiến trình upload cho từng file
2. Các file được lưu trữ an toàn trên Cloud Storage (S3 / MinIO)
3. Tự động sinh thumbnail và hiển thị trong lưới thư viện media</t>
        </is>
      </c>
      <c r="I13" s="34" t="inlineStr">
        <is>
          <t>1. Đã hiển thị đúng thanh tiến trình upload cho từng file
2. Các file được lưu trữ an toàn trên Cloud Storage (S3 / MinIO)
3. Thực tế ghi nhận: Tự động sinh thumbnail và hiển thị trong lưới thư viện media</t>
        </is>
      </c>
      <c r="J13" s="35" t="inlineStr">
        <is>
          <t>OK</t>
        </is>
      </c>
      <c r="K13" s="184" t="inlineStr">
        <is>
          <t>QA Tester</t>
        </is>
      </c>
      <c r="L13" s="189" t="inlineStr">
        <is>
          <t>14/09/2026</t>
        </is>
      </c>
      <c r="M13" s="19" t="inlineStr">
        <is>
          <t>OKI</t>
        </is>
      </c>
      <c r="N13" s="185" t="n"/>
      <c r="O13" s="186" t="n"/>
      <c r="P13" s="40" t="n"/>
      <c r="Q13" s="34" t="n"/>
      <c r="R13" s="41" t="n"/>
      <c r="S13" s="42" t="n"/>
      <c r="T13" s="42" t="n"/>
      <c r="U13" s="42" t="n"/>
      <c r="V13" s="42" t="n"/>
      <c r="W13" s="42" t="n"/>
      <c r="X13" s="42" t="n"/>
      <c r="Y13" s="42" t="n"/>
      <c r="Z13" s="42" t="n"/>
      <c r="AA13" s="42" t="n"/>
      <c r="AB13" s="42" t="n"/>
      <c r="AC13" s="42" t="n"/>
    </row>
    <row r="14" ht="36" customHeight="1">
      <c r="A14" s="16" t="n"/>
      <c r="B14" s="19" t="n">
        <v>2</v>
      </c>
      <c r="C14" s="196" t="inlineStr">
        <is>
          <t>fullmember.kinghub@gmail.com</t>
        </is>
      </c>
      <c r="D14" s="197" t="inlineStr">
        <is>
          <t>Full Member</t>
        </is>
      </c>
      <c r="E14" s="20" t="inlineStr">
        <is>
          <t>[MED-FLD-001] Tạo Thư mục mới và Di chuyển Media vào Thư mục (Folders Management)</t>
        </is>
      </c>
      <c r="F14" s="20" t="inlineStr">
        <is>
          <t>Kho Media</t>
        </is>
      </c>
      <c r="G14" s="20" t="inlineStr">
        <is>
          <t>1. Bấm 'Tạo thư mục mới' -&gt; Đặt tên 'Bộ sưu tập Hè 2026'
2. Chọn 4 hình ảnh và bấm 'Di chuyển vào thư mục'
3. Chọn thư mục 'Bộ sưu tập Hè 2026'
4. Bấm 'Xác nhận'</t>
        </is>
      </c>
      <c r="H14" s="21" t="inlineStr">
        <is>
          <t>1. Thư mục được tạo thành công
2. 4 hình ảnh được chuyển vào thư mục và hiển thị ngăn nắp</t>
        </is>
      </c>
      <c r="I14" s="21" t="inlineStr">
        <is>
          <t>1. Thực tế ghi nhận: Thư mục được tạo thành công
2. Thực tế ghi nhận: 4 hình ảnh được chuyển vào thư mục và hiển thị ngăn nắp</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fullmember.kinghub@gmail.com</t>
        </is>
      </c>
      <c r="D15" s="197" t="inlineStr">
        <is>
          <t>Full Member</t>
        </is>
      </c>
      <c r="E15" s="20" t="inlineStr">
        <is>
          <t>[MED-UNS-001] Tìm kiếm và sử dụng kho ảnh miễn phí bản quyền từ Unsplash</t>
        </is>
      </c>
      <c r="F15" s="20" t="inlineStr">
        <is>
          <t>Kho Media hoặc Trình soạn bài</t>
        </is>
      </c>
      <c r="G15" s="20" t="inlineStr">
        <is>
          <t>1. Chọn tab 'Unsplash'
2. Nhập từ khóa: 'Coffee Beans Espresso'
3. Lướt xem danh sách kết quả ảnh chất lượng cao
4. Chọn 1 ảnh và bấm 'Tải vào thư viện'</t>
        </is>
      </c>
      <c r="H15" s="21" t="inlineStr">
        <is>
          <t>Ảnh độ phân giải cao từ Unsplash được import trực tiếp vào kho media của workspace kèm thông tin credit tác giả hợp lệ</t>
        </is>
      </c>
      <c r="I15" s="21" t="inlineStr">
        <is>
          <t>- Ảnh độ phân giải cao từ Unsplash được import trực tiếp vào kho media của workspace kèm thông tin credit tác giả hợp lệ</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5</v>
      </c>
      <c r="C16" s="196" t="inlineStr">
        <is>
          <t>fullmember.kinghub@gmail.com</t>
        </is>
      </c>
      <c r="D16" s="197" t="inlineStr">
        <is>
          <t>Full Member</t>
        </is>
      </c>
      <c r="E16" s="20" t="inlineStr">
        <is>
          <t>[MED-DEL-001] Xem thông tin chi tiết và Xóa Media để giải phóng dung lượng lưu trữ</t>
        </is>
      </c>
      <c r="F16" s="20" t="inlineStr">
        <is>
          <t>Kho Media</t>
        </is>
      </c>
      <c r="G16" s="20" t="inlineStr">
        <is>
          <t>1. Bấm vào 1 video để xem chi tiết: Tên file, dung lượng (35MB), kích thước (1920x1080), ngày upload
2. Bấm 'Xóa file' và xác nhận</t>
        </is>
      </c>
      <c r="H16" s="21" t="inlineStr">
        <is>
          <t>File bị xóa hoàn toàn khỏi S3/MinIO và dung lượng đã dùng của workspace được cập nhật giảm đi 35MB</t>
        </is>
      </c>
      <c r="I16" s="21" t="inlineStr">
        <is>
          <t>- File bị xóa hoàn toàn khỏi S3/MinIO và dung lượng đã dùng của workspace được cập nhật giảm đi 35MB</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13.9" customHeight="1"/>
    <row r="18" ht="13.9" customHeight="1"/>
    <row r="19" ht="13.9" customHeight="1"/>
    <row r="20" ht="13.9" customHeight="1"/>
    <row r="21" ht="13.9" customHeight="1"/>
    <row r="22" ht="13.9" customHeight="1"/>
    <row r="23" ht="13.9" customHeight="1"/>
    <row r="24" ht="13.9" customHeight="1"/>
    <row r="25" ht="13.9" customHeight="1"/>
    <row r="26" ht="13.9" customHeight="1"/>
    <row r="27" ht="13.9" customHeight="1"/>
    <row r="28" ht="13.9" customHeight="1"/>
    <row r="29" ht="13.9" customHeight="1"/>
    <row r="30" ht="13.9" customHeight="1"/>
    <row r="31" ht="16.5" customHeight="1"/>
    <row r="32" ht="16.5" customHeight="1"/>
    <row r="33" ht="16.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12.xml><?xml version="1.0" encoding="utf-8"?>
<worksheet xmlns="http://schemas.openxmlformats.org/spreadsheetml/2006/main">
  <sheetPr>
    <outlinePr summaryBelow="0" summaryRight="0"/>
    <pageSetUpPr fitToPage="1"/>
  </sheetPr>
  <dimension ref="A1:AC24"/>
  <sheetViews>
    <sheetView topLeftCell="A6" workbookViewId="0">
      <selection activeCell="E8" sqref="E8:F8"/>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TC-Omnichat-CRM</t>
        </is>
      </c>
      <c r="G4" s="7" t="n"/>
      <c r="H4" s="163" t="n"/>
      <c r="I4" s="2" t="n"/>
      <c r="J4" s="1" t="n"/>
      <c r="K4" s="9" t="inlineStr">
        <is>
          <t>Summary</t>
        </is>
      </c>
      <c r="L4" s="10" t="inlineStr">
        <is>
          <t>Chưa làm (N)</t>
        </is>
      </c>
      <c r="M4" s="11">
        <f>COUNTIF(H13:H24,"N")</f>
        <v/>
      </c>
      <c r="N4" s="11">
        <f>COUNTIF(J13:J24,"N")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8. Hộp Thư Đa Kênh Omnichat, CSKH &amp; CRM Tự Động (Omnichat &amp; CRM)</t>
        </is>
      </c>
      <c r="G5" s="7" t="n"/>
      <c r="H5" s="163" t="n"/>
      <c r="I5" s="2" t="n"/>
      <c r="J5" s="1" t="n"/>
      <c r="K5" s="187" t="n"/>
      <c r="L5" s="10" t="inlineStr">
        <is>
          <t>Đạt (OK)</t>
        </is>
      </c>
      <c r="M5" s="11">
        <f>COUNTIF(H13:H24,"OK")</f>
        <v/>
      </c>
      <c r="N5" s="11">
        <f>COUNTIF(J13:J24,"OK")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COUNTIF(H13:H24,"NG")</f>
        <v/>
      </c>
      <c r="N6" s="11">
        <f>COUNTIF(J13:J24,"NG")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46279.550535</v>
      </c>
      <c r="H7" s="163" t="n"/>
      <c r="I7" s="2" t="n"/>
      <c r="J7" s="1" t="n"/>
      <c r="K7" s="187" t="n"/>
      <c r="L7" s="10" t="inlineStr">
        <is>
          <t>Tạm hoãn (P)</t>
        </is>
      </c>
      <c r="M7" s="11">
        <f>COUNTIF(H13:H24,"P")</f>
        <v/>
      </c>
      <c r="N7" s="11">
        <f>COUNTIF(J13:J24,"P")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COUNTIF(H13:H24,"X")</f>
        <v/>
      </c>
      <c r="N8" s="11">
        <f>COUNTIF(J13:J24,"X")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46279.550535</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omnichat.kinghub@gmail.com</t>
        </is>
      </c>
      <c r="D13" s="197" t="inlineStr">
        <is>
          <t>Omnichat Agent</t>
        </is>
      </c>
      <c r="E13" s="20" t="inlineStr">
        <is>
          <t>[OMNI-RT-001] Nhận tin nhắn Facebook Messenger theo thời gian thực (Realtime WebSocket Reverb)</t>
        </is>
      </c>
      <c r="F13" s="20" t="inlineStr">
        <is>
          <t>Fanpage đã kết nối, nhân viên CSKH đang mở trang /omnichat</t>
        </is>
      </c>
      <c r="G13" s="20" t="inlineStr">
        <is>
          <t>1. Khách hàng gửi tin nhắn 'Chào shop, tư vấn giá sỉ giúp mình' từ ứng dụng Messenger</t>
        </is>
      </c>
      <c r="H13" s="21" t="inlineStr">
        <is>
          <t>1. Hệ thống nhận Webhook từ Facebook Graph API
2. Phát sự kiện Realtime qua Laravel Reverb WebSocket
3. Hội thoại nhảy ngay lên đầu danh sách trong &lt; 0.2s mà không cần reload trang
4. Phát chuông thông báo âm thanh và hiển thị chấm đỏ chưa đọc</t>
        </is>
      </c>
      <c r="I13" s="21" t="inlineStr">
        <is>
          <t>1. Hệ thống nhận Webhook từ Facebook Graph API
2. Thực tế ghi nhận: Phát sự kiện Realtime qua Laravel Reverb WebSocket
3. Thực tế ghi nhận: Hội thoại nhảy ngay lên đầu danh sách trong &lt; 0.2s mà không cần reload trang
4. Thực tế ghi nhận: Phát chuông thông báo âm thanh và hiển thị chấm đỏ chưa đọc</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omnichat.kinghub@gmail.com</t>
        </is>
      </c>
      <c r="D14" s="197" t="inlineStr">
        <is>
          <t>Omnichat Agent</t>
        </is>
      </c>
      <c r="E14" s="20" t="inlineStr">
        <is>
          <t>[OMNI-RT-002] Nhân viên CSKH trả lời tin nhắn Messenger từ giao diện Omnichat</t>
        </is>
      </c>
      <c r="F14" s="20" t="inlineStr">
        <is>
          <t>Đang mở hội thoại với khách hàng</t>
        </is>
      </c>
      <c r="G14" s="20" t="inlineStr">
        <is>
          <t>1. Nhập tin nhắn phản hồi: 'Chào bạn, King Coffee gửi bạn bảng giá sỉ nhé!'
2. Bấm 'Gửi' (hoặc gõ Enter)</t>
        </is>
      </c>
      <c r="H14" s="21" t="inlineStr">
        <is>
          <t>1. Tin nhắn hiển thị ngay trong khung chat của nhân viên với trạng thái 'Đã gửi'
2. Hệ thống gọi Facebook Send API
3. Khách hàng nhận được tin nhắn trên app Messenger của họ ngay tức thì</t>
        </is>
      </c>
      <c r="I14" s="21" t="inlineStr">
        <is>
          <t>1. Tin nhắn hiển thị ngay trong khung chat của nhân viên với trạng thái 'Đã gửi'
2. Hệ thống gọi thành công Facebook Send API
3. Khách hàng nhận được tin nhắn trên app Messenger của họ ngay tức thì</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4</v>
      </c>
      <c r="C15" s="196" t="inlineStr">
        <is>
          <t>omnichat.kinghub@gmail.com</t>
        </is>
      </c>
      <c r="D15" s="197" t="inlineStr">
        <is>
          <t>Omnichat Agent</t>
        </is>
      </c>
      <c r="E15" s="20" t="inlineStr">
        <is>
          <t>[OMNI-WID-001] Khung Live Chat Website: Khách hàng nhắn tin từ Widget Website</t>
        </is>
      </c>
      <c r="F15" s="20" t="inlineStr">
        <is>
          <t>Website đã tích hợp mã nhúng Website Chat Widget</t>
        </is>
      </c>
      <c r="G15" s="20" t="inlineStr">
        <is>
          <t>1. Khách truy cập website và mở widget chat
2. Nhập họ tên 'Anh Tuấn', SĐT '0988888888' và nội dung cần tư vấn
3. Bấm gửi</t>
        </is>
      </c>
      <c r="H15" s="21" t="inlineStr">
        <is>
          <t>1. Khởi tạo session chat qua API /api/website-chat/v1/sessions
2. Nhân viên trên Omnichat nhận hội thoại mới với tên 'Anh Tuấn'
3. Nhân viên và khách chat qua lại 2 chiều realtime mượt mà</t>
        </is>
      </c>
      <c r="I15" s="21" t="inlineStr">
        <is>
          <t>1. Thực tế ghi nhận: Khởi tạo session chat qua API /api/website-chat/v1/sessions
2. Thực tế ghi nhận: Nhân viên trên Omnichat nhận hội thoại mới với tên 'Anh Tuấn'
3. Thực tế ghi nhận: Nhân viên và khách chat qua lại 2 chiều realtime mượt mà</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5</v>
      </c>
      <c r="C16" s="196" t="inlineStr">
        <is>
          <t>omnichat.kinghub@gmail.com</t>
        </is>
      </c>
      <c r="D16" s="197" t="inlineStr">
        <is>
          <t>Omnichat Agent</t>
        </is>
      </c>
      <c r="E16" s="20" t="inlineStr">
        <is>
          <t xml:space="preserve">[OMNI-MUL-001] Đồng bộ tin nhắn đa nền tảng: Zalo OA, , Shopee, TikTok , lazada </t>
        </is>
      </c>
      <c r="F16" s="20" t="inlineStr">
        <is>
          <t>Đã kết nối các kênh vào Omnichat</t>
        </is>
      </c>
      <c r="G16" s="20" t="inlineStr">
        <is>
          <t xml:space="preserve">1. Nhận tin nhắn từ Zalo OA, , Shopee, TikTok , lazada </t>
        </is>
      </c>
      <c r="H16" s="21" t="inlineStr">
        <is>
          <t xml:space="preserve">Tất cả hội thoại từ các nền tảng khác nhau được gom về một Hộp thư duy nhất, có logo nền tảng hiển thị rõ ràng trên từng hội thoại, và có thể phản hồi được tin nhắn khách hàng </t>
        </is>
      </c>
      <c r="I16" s="21" t="inlineStr">
        <is>
          <t>- Thực tế ghi nhận: Tất cả hội thoại từ các nền tảng khác nhau được gom về một Hộp thư duy nhất, có logo nền tảng hiển thị rõ ràng trên từng hội thoại, và có thể phản hồi được tin nhắn khách hàng</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6</v>
      </c>
      <c r="C17" s="196" t="inlineStr">
        <is>
          <t>omnichat.kinghub@gmail.com</t>
        </is>
      </c>
      <c r="D17" s="197" t="inlineStr">
        <is>
          <t>Omnichat Agent</t>
        </is>
      </c>
      <c r="E17" s="20" t="inlineStr">
        <is>
          <t>[OMNI-FLT-001] Sử dụng Bộ lọc Kênh chuyên sâu (Page Filter Dialog)</t>
        </is>
      </c>
      <c r="F17" s="20" t="inlineStr">
        <is>
          <t>Trang Omnichat</t>
        </is>
      </c>
      <c r="G17" s="20" t="inlineStr">
        <is>
          <t>1. Bấm nút 'Lọc kênh'
2. Mở dialog có ô tìm kiếm Live Search
3. Chọn lọc chỉ xem kênh 'Facebook Fanpage' và 'Zalo OA'
4. Bấm 'Áp dụng'</t>
        </is>
      </c>
      <c r="H17" s="21" t="inlineStr">
        <is>
          <t>Danh sách hội thoại lọc chính xác chỉ hiển thị các tin nhắn thuộc các kênh đã chọn</t>
        </is>
      </c>
      <c r="I17" s="21" t="inlineStr">
        <is>
          <t>- Thực tế ghi nhận: Danh sách hội thoại lọc chính xác chỉ hiển thị các tin nhắn thuộc các kênh đã chọn</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36" customHeight="1">
      <c r="A18" s="16" t="n"/>
      <c r="B18" s="19" t="n">
        <v>7</v>
      </c>
      <c r="C18" s="196" t="inlineStr">
        <is>
          <t>omnichat.kinghub@gmail.com</t>
        </is>
      </c>
      <c r="D18" s="197" t="inlineStr">
        <is>
          <t>Omnichat Agent</t>
        </is>
      </c>
      <c r="E18" s="20" t="inlineStr">
        <is>
          <t>[OMNI-ATT-001] Gửi tệp đính kèm hình ảnh, video, tài liệu hóa đơn PDF (lên đến 25MB)</t>
        </is>
      </c>
      <c r="F18" s="20" t="inlineStr">
        <is>
          <t>Khung chat Omnichat</t>
        </is>
      </c>
      <c r="G18" s="20" t="inlineStr">
        <is>
          <t>1. Bấm icon đính kèm kẹp giấy
2. Chọn 1 file ảnh sản phẩm hoặc file PDF báo giá 18MB
3. Bấm gửi</t>
        </is>
      </c>
      <c r="H18" s="21" t="inlineStr">
        <is>
          <t>File được upload và hiển thị dạng xem trước ảnh hoặc khung tải file PDF cho khách hàng</t>
        </is>
      </c>
      <c r="I18" s="21" t="inlineStr">
        <is>
          <t>- File được upload và hiển thị dạng xem trước ảnh hoặc khung tải file PDF cho khách hàng</t>
        </is>
      </c>
      <c r="J18" s="22" t="inlineStr">
        <is>
          <t>OK</t>
        </is>
      </c>
      <c r="K18" s="180" t="inlineStr">
        <is>
          <t>QA Tester</t>
        </is>
      </c>
      <c r="L18" s="181" t="inlineStr">
        <is>
          <t>14/09/2026</t>
        </is>
      </c>
      <c r="M18" s="19" t="n"/>
      <c r="N18" s="182" t="n"/>
      <c r="O18" s="183" t="n"/>
      <c r="P18" s="27" t="n"/>
      <c r="Q18" s="21" t="n"/>
      <c r="R18" s="28" t="n"/>
      <c r="S18" s="29" t="n"/>
      <c r="T18" s="29" t="n"/>
      <c r="U18" s="29" t="n"/>
      <c r="V18" s="29" t="n"/>
      <c r="W18" s="29" t="n"/>
      <c r="X18" s="29" t="n"/>
      <c r="Y18" s="29" t="n"/>
      <c r="Z18" s="29" t="n"/>
      <c r="AA18" s="29" t="n"/>
      <c r="AB18" s="29" t="n"/>
      <c r="AC18" s="29" t="n"/>
    </row>
    <row r="19" ht="36" customHeight="1">
      <c r="A19" s="16" t="n"/>
      <c r="B19" s="19" t="n">
        <v>9</v>
      </c>
      <c r="C19" s="196" t="inlineStr">
        <is>
          <t>omnichat.kinghub@gmail.com</t>
        </is>
      </c>
      <c r="D19" s="197" t="inlineStr">
        <is>
          <t>Omnichat Agent</t>
        </is>
      </c>
      <c r="E19" s="20" t="inlineStr">
        <is>
          <t>[OMNI-NOTE-001] Tạo Ghi chú nội bộ (Internal Notes) cho đồng nghiệp ca sau</t>
        </is>
      </c>
      <c r="F19" s="20" t="inlineStr">
        <is>
          <t>Khung chat của khách hàng</t>
        </is>
      </c>
      <c r="G19" s="20" t="inlineStr">
        <is>
          <t>1. Chuyển sang tab 'Ghi chú nội bộ' (Màu vàng)
2. Nhập: 'Khách hẹn chiều mai 14h gọi lại giao hàng địa chỉ Quận 1'
3. Bấm 'Lưu ghi chú'</t>
        </is>
      </c>
      <c r="H19" s="21" t="inlineStr">
        <is>
          <t>1. Ghi chú màu vàng hiển thị xen kẽ trong lịch sử chat của nhân viên
2. Khách hàng hoàn toàn KHÔNG nhìn thấy ghi chú này</t>
        </is>
      </c>
      <c r="I19" s="21" t="inlineStr">
        <is>
          <t>1. Thực tế ghi nhận: Ghi chú màu vàng hiển thị xen kẽ trong lịch sử chat của nhân viên
2. Khách hàng hoàn toàn KHÔNG nhìn thấy ghi chú này</t>
        </is>
      </c>
      <c r="J19" s="22" t="inlineStr">
        <is>
          <t>OK</t>
        </is>
      </c>
      <c r="K19" s="180" t="inlineStr">
        <is>
          <t>QA Tester</t>
        </is>
      </c>
      <c r="L19" s="181" t="inlineStr">
        <is>
          <t>14/09/2026</t>
        </is>
      </c>
      <c r="M19" s="19" t="n"/>
      <c r="N19" s="182" t="n"/>
      <c r="O19" s="183" t="n"/>
      <c r="P19" s="27" t="n"/>
      <c r="Q19" s="21" t="n"/>
      <c r="R19" s="28" t="n"/>
      <c r="S19" s="29" t="n"/>
      <c r="T19" s="29" t="n"/>
      <c r="U19" s="29" t="n"/>
      <c r="V19" s="29" t="n"/>
      <c r="W19" s="29" t="n"/>
      <c r="X19" s="29" t="n"/>
      <c r="Y19" s="29" t="n"/>
      <c r="Z19" s="29" t="n"/>
      <c r="AA19" s="29" t="n"/>
      <c r="AB19" s="29" t="n"/>
      <c r="AC19" s="29" t="n"/>
    </row>
    <row r="20" ht="36" customHeight="1">
      <c r="A20" s="16" t="n"/>
      <c r="B20" s="19" t="n">
        <v>10</v>
      </c>
      <c r="C20" s="196" t="inlineStr">
        <is>
          <t>omnichat.kinghub@gmail.com</t>
        </is>
      </c>
      <c r="D20" s="197" t="inlineStr">
        <is>
          <t>Omnichat Agent</t>
        </is>
      </c>
      <c r="E20" s="20" t="inlineStr">
        <is>
          <t>[OMNI-ASN-001] Giao việc và Phân công hội thoại cho nhân viên phụ trách (Assign Member)</t>
        </is>
      </c>
      <c r="F20" s="20" t="inlineStr">
        <is>
          <t>Trưởng nhóm CSKH / Admin</t>
        </is>
      </c>
      <c r="G20" s="20" t="inlineStr">
        <is>
          <t>1. Tại cột thông tin hội thoại bên phải, chọn 'Phân công cho': 'Lê Thị Thu'
2. Bấm xác nhận</t>
        </is>
      </c>
      <c r="H20" s="21" t="inlineStr">
        <is>
          <t>1. Hội thoại được gán cho nhân viên Thu
2. Hiển thị avatar của Thu trên thẻ hội thoại
3. Thu nhận thông báo và hội thoại xuất hiện trong tab 'Giao cho tôi'</t>
        </is>
      </c>
      <c r="I20" s="21" t="inlineStr">
        <is>
          <t>1. Thực tế ghi nhận: Hội thoại được gán cho nhân viên Thu
2. Đã hiển thị đúng avatar của Thu trên thẻ hội thoại
3. Thực tế ghi nhận: Thu nhận thông báo và hội thoại xuất hiện trong tab 'Giao cho tôi'</t>
        </is>
      </c>
      <c r="J20" s="22" t="inlineStr">
        <is>
          <t>OK</t>
        </is>
      </c>
      <c r="K20" s="180" t="inlineStr">
        <is>
          <t>QA Tester</t>
        </is>
      </c>
      <c r="L20" s="181" t="inlineStr">
        <is>
          <t>14/09/2026</t>
        </is>
      </c>
      <c r="M20" s="19" t="n"/>
      <c r="N20" s="182" t="n"/>
      <c r="O20" s="183" t="n"/>
      <c r="P20" s="27" t="n"/>
      <c r="Q20" s="21" t="n"/>
      <c r="R20" s="28" t="n"/>
      <c r="S20" s="29" t="n"/>
      <c r="T20" s="29" t="n"/>
      <c r="U20" s="29" t="n"/>
      <c r="V20" s="29" t="n"/>
      <c r="W20" s="29" t="n"/>
      <c r="X20" s="29" t="n"/>
      <c r="Y20" s="29" t="n"/>
      <c r="Z20" s="29" t="n"/>
      <c r="AA20" s="29" t="n"/>
      <c r="AB20" s="29" t="n"/>
      <c r="AC20" s="29" t="n"/>
    </row>
    <row r="21" ht="36" customHeight="1">
      <c r="A21" s="16" t="n"/>
      <c r="B21" s="19" t="n">
        <v>11</v>
      </c>
      <c r="C21" s="196" t="inlineStr">
        <is>
          <t>omnichat.kinghub@gmail.com</t>
        </is>
      </c>
      <c r="D21" s="197" t="inlineStr">
        <is>
          <t>Omnichat Agent</t>
        </is>
      </c>
      <c r="E21" s="20" t="inlineStr">
        <is>
          <t>[OMNI-CRM-001] Tự động phát hiện và trích xuất Số điện thoại &amp; Email (Lead Extractor)</t>
        </is>
      </c>
      <c r="F21" s="20" t="inlineStr">
        <is>
          <t>Khách hàng nhắn tin: 'Giao cho mình về số 0901234567, email tuan@gmail.com nhé'</t>
        </is>
      </c>
      <c r="G21" s="20" t="inlineStr">
        <is>
          <t>1. Hệ thống tự động phân tích cú pháp tin nhắn</t>
        </is>
      </c>
      <c r="H21" s="21" t="inlineStr">
        <is>
          <t>1. Tự động trích xuất SĐT '0901234567' và Email 'tuan@gmail.com'
2. Điền tự động vào trường thông tin khách hàng trong cột CRM bên phải
3. Gắn nhãn tự động 'Đã có SĐT'</t>
        </is>
      </c>
      <c r="I21" s="21" t="inlineStr">
        <is>
          <t>1. Thực tế ghi nhận: Tự động trích xuất SĐT '0901234567' và Email 'tuan@gmail.com'
2. Thực tế ghi nhận: Điền tự động vào trường thông tin khách hàng trong cột CRM bên phải
3. Thực tế ghi nhận: Gắn nhãn tự động 'Đã có SĐT'</t>
        </is>
      </c>
      <c r="J21" s="22" t="inlineStr">
        <is>
          <t>OK</t>
        </is>
      </c>
      <c r="K21" s="180" t="inlineStr">
        <is>
          <t>QA Tester</t>
        </is>
      </c>
      <c r="L21" s="181" t="inlineStr">
        <is>
          <t>14/09/2026</t>
        </is>
      </c>
      <c r="M21" s="19" t="n"/>
      <c r="N21" s="182" t="n"/>
      <c r="O21" s="183" t="n"/>
      <c r="P21" s="27" t="n"/>
      <c r="Q21" s="21" t="n"/>
      <c r="R21" s="28" t="n"/>
      <c r="S21" s="29" t="n"/>
      <c r="T21" s="29" t="n"/>
      <c r="U21" s="29" t="n"/>
      <c r="V21" s="29" t="n"/>
      <c r="W21" s="29" t="n"/>
      <c r="X21" s="29" t="n"/>
      <c r="Y21" s="29" t="n"/>
      <c r="Z21" s="29" t="n"/>
      <c r="AA21" s="29" t="n"/>
      <c r="AB21" s="29" t="n"/>
      <c r="AC21" s="29" t="n"/>
    </row>
    <row r="22" ht="36" customHeight="1">
      <c r="A22" s="16" t="n"/>
      <c r="B22" s="19" t="n">
        <v>12</v>
      </c>
      <c r="C22" s="196" t="inlineStr">
        <is>
          <t>omnichat.kinghub@gmail.com</t>
        </is>
      </c>
      <c r="D22" s="197" t="inlineStr">
        <is>
          <t>Omnichat Agent</t>
        </is>
      </c>
      <c r="E22" s="20" t="inlineStr">
        <is>
          <t>[OMNI-TAG-001] Gắn Nhãn &amp; Thẻ phân loại khách hàng (Tags &amp; Lead Status)</t>
        </is>
      </c>
      <c r="F22" s="20" t="inlineStr">
        <is>
          <t>Cột CRM thông tin khách hàng</t>
        </is>
      </c>
      <c r="G22" s="20" t="inlineStr">
        <is>
          <t>1. Nhấp chọn các thẻ màu: 'Khách VIP', 'Đã chuyển cọc', 'Cần chăm sóc lại'</t>
        </is>
      </c>
      <c r="H22" s="21" t="inlineStr">
        <is>
          <t>Các thẻ màu hiển thị nổi bật cạnh tên khách hàng và hỗ trợ lọc danh sách khách hàng tiềm năng theo thẻ</t>
        </is>
      </c>
      <c r="I22" s="21" t="inlineStr">
        <is>
          <t>- Các thẻ màu hiển thị nổi bật cạnh tên khách hàng và hỗ trợ lọc danh sách khách hàng tiềm năng theo thẻ</t>
        </is>
      </c>
      <c r="J22" s="22" t="inlineStr">
        <is>
          <t>OK</t>
        </is>
      </c>
      <c r="K22" s="180" t="inlineStr">
        <is>
          <t>QA Tester</t>
        </is>
      </c>
      <c r="L22" s="181" t="inlineStr">
        <is>
          <t>14/09/2026</t>
        </is>
      </c>
      <c r="M22" s="19" t="n"/>
      <c r="N22" s="182" t="n"/>
      <c r="O22" s="183" t="n"/>
      <c r="P22" s="27" t="n"/>
      <c r="Q22" s="21" t="n"/>
      <c r="R22" s="28" t="n"/>
      <c r="S22" s="29" t="n"/>
      <c r="T22" s="29" t="n"/>
      <c r="U22" s="29" t="n"/>
      <c r="V22" s="29" t="n"/>
      <c r="W22" s="29" t="n"/>
      <c r="X22" s="29" t="n"/>
      <c r="Y22" s="29" t="n"/>
      <c r="Z22" s="29" t="n"/>
      <c r="AA22" s="29" t="n"/>
      <c r="AB22" s="29" t="n"/>
      <c r="AC22" s="29" t="n"/>
    </row>
    <row r="23" ht="36" customHeight="1">
      <c r="A23" s="16" t="n"/>
      <c r="B23" s="19" t="n">
        <v>13</v>
      </c>
      <c r="C23" s="196" t="inlineStr">
        <is>
          <t>omnichat.kinghub@gmail.com</t>
        </is>
      </c>
      <c r="D23" s="197" t="inlineStr">
        <is>
          <t>Omnichat Agent</t>
        </is>
      </c>
      <c r="E23" s="20" t="inlineStr">
        <is>
          <t>[OMNI-TIM-001] Xem Dòng thời gian tương tác 360° &amp; Sắc thái cảm xúc (Customer Timeline &amp; Sentiment)</t>
        </is>
      </c>
      <c r="F23" s="20" t="inlineStr">
        <is>
          <t>Khách hàng đã tương tác nhiều bài viết trên Fanpage</t>
        </is>
      </c>
      <c r="G23" s="20" t="inlineStr">
        <is>
          <t>1. Mở tab 'Dòng thời gian (Timeline)' ở cột bên phải</t>
        </is>
      </c>
      <c r="H23" s="21" t="inlineStr">
        <is>
          <t>Hiển thị toàn bộ lịch sử 360 độ: Danh sách bài viết khách đã Like, nội dung các bình luận đã gửi, thời gian tương tác, chỉ số cảm xúc phân tích (Tích cực / Tiêu cực / Trung tính)</t>
        </is>
      </c>
      <c r="I23" s="21" t="inlineStr">
        <is>
          <t>- Đã hiển thị đúng toàn bộ lịch sử 360 độ: Danh sách bài viết khách đã Like, nội dung các bình luận đã gửi, thời gian tương tác, chỉ số cảm xúc phân tích (Tích cực / Tiêu cực / Trung tính)</t>
        </is>
      </c>
      <c r="J23" s="22" t="inlineStr">
        <is>
          <t>OK</t>
        </is>
      </c>
      <c r="K23" s="180" t="inlineStr">
        <is>
          <t>QA Tester</t>
        </is>
      </c>
      <c r="L23" s="181" t="inlineStr">
        <is>
          <t>14/09/2026</t>
        </is>
      </c>
      <c r="M23" s="19" t="n"/>
      <c r="N23" s="182" t="n"/>
      <c r="O23" s="183" t="n"/>
      <c r="P23" s="27" t="n"/>
      <c r="Q23" s="21" t="n"/>
      <c r="R23" s="28" t="n"/>
      <c r="S23" s="29" t="n"/>
      <c r="T23" s="29" t="n"/>
      <c r="U23" s="29" t="n"/>
      <c r="V23" s="29" t="n"/>
      <c r="W23" s="29" t="n"/>
      <c r="X23" s="29" t="n"/>
      <c r="Y23" s="29" t="n"/>
      <c r="Z23" s="29" t="n"/>
      <c r="AA23" s="29" t="n"/>
      <c r="AB23" s="29" t="n"/>
      <c r="AC23" s="29" t="n"/>
    </row>
    <row r="24" ht="36" customHeight="1">
      <c r="A24" s="16" t="n"/>
      <c r="B24" s="19" t="n">
        <v>14</v>
      </c>
      <c r="C24" s="196" t="inlineStr">
        <is>
          <t>omnichat.kinghub@gmail.com</t>
        </is>
      </c>
      <c r="D24" s="197" t="inlineStr">
        <is>
          <t>Omnichat Agent</t>
        </is>
      </c>
      <c r="E24" s="20" t="inlineStr">
        <is>
          <t>[OMNI-BOT-001] Cấu hình Bot AI CSKH tự động trả lời 24/7 (AI Care Bot Dify Integration)</t>
        </is>
      </c>
      <c r="F24" s="20" t="inlineStr">
        <is>
          <t>Cài đặt trang / Fanpage</t>
        </is>
      </c>
      <c r="G24" s="20" t="inlineStr">
        <is>
          <t>1. Bật tính năng 'AI Care Bot'
2. Chọn Workflow AI Dify và nhập tài liệu kiến thức sản phẩm (Knowledge Base)
3. Khách nhắn tin hỏi tư vấn sản phẩm lúc nửa đêm 2h sáng</t>
        </is>
      </c>
      <c r="H24" s="21" t="inlineStr">
        <is>
          <t>Bot AI tự động phân tích câu hỏi, trả lời chính xác thông tin sản phẩm theo tài liệu hướng dẫn và xin SĐT để nhân viên liên hệ lại</t>
        </is>
      </c>
      <c r="I24" s="21" t="inlineStr">
        <is>
          <t>- Thực tế ghi nhận: Bot AI tự động phân tích câu hỏi, trả lời chính xác thông tin sản phẩm theo tài liệu hướng dẫn và xin SĐT để nhân viên liên hệ lại</t>
        </is>
      </c>
      <c r="J24" s="22" t="inlineStr">
        <is>
          <t>OK</t>
        </is>
      </c>
      <c r="K24" s="180" t="inlineStr">
        <is>
          <t>QA Tester</t>
        </is>
      </c>
      <c r="L24" s="181" t="inlineStr">
        <is>
          <t>14/09/2026</t>
        </is>
      </c>
      <c r="M24" s="19" t="n"/>
      <c r="N24" s="182" t="n"/>
      <c r="O24" s="183" t="n"/>
      <c r="P24" s="27" t="n"/>
      <c r="Q24" s="21" t="n"/>
      <c r="R24" s="28" t="n"/>
      <c r="S24" s="29" t="n"/>
      <c r="T24" s="29" t="n"/>
      <c r="U24" s="29" t="n"/>
      <c r="V24" s="29" t="n"/>
      <c r="W24" s="29" t="n"/>
      <c r="X24" s="29" t="n"/>
      <c r="Y24" s="29" t="n"/>
      <c r="Z24" s="29" t="n"/>
      <c r="AA24" s="29" t="n"/>
      <c r="AB24" s="29" t="n"/>
      <c r="AC24" s="29" t="n"/>
    </row>
    <row r="25" ht="13.9" customHeight="1"/>
    <row r="26" ht="13.9" customHeight="1"/>
    <row r="27" ht="13.9" customHeight="1"/>
    <row r="28" ht="13.9" customHeight="1"/>
    <row r="29" ht="13.9" customHeight="1"/>
    <row r="30" ht="16.5" customHeight="1"/>
    <row r="31" ht="16.5" customHeight="1"/>
    <row r="32" ht="16.5" customHeight="1"/>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13.xml><?xml version="1.0" encoding="utf-8"?>
<worksheet xmlns="http://schemas.openxmlformats.org/spreadsheetml/2006/main">
  <sheetPr>
    <outlinePr summaryBelow="0" summaryRight="0"/>
    <pageSetUpPr fitToPage="1"/>
  </sheetPr>
  <dimension ref="A1:AC17"/>
  <sheetViews>
    <sheetView workbookViewId="0">
      <selection activeCell="A13" sqref="A13"/>
    </sheetView>
  </sheetViews>
  <sheetFormatPr baseColWidth="8" defaultColWidth="12.5714285714286" defaultRowHeight="15" customHeight="1"/>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5.75" customHeight="1">
      <c r="A1" s="1" t="n"/>
      <c r="B1" s="1" t="n"/>
      <c r="E1" s="1" t="n"/>
      <c r="F1" s="1" t="n"/>
      <c r="G1" s="1" t="n"/>
      <c r="H1" s="1" t="n"/>
      <c r="I1" s="2" t="n"/>
      <c r="J1" s="1" t="n"/>
      <c r="K1" s="1" t="n"/>
      <c r="L1" s="1" t="n"/>
      <c r="M1" s="1" t="n"/>
      <c r="N1" s="1" t="n"/>
      <c r="O1" s="1" t="n"/>
      <c r="P1" s="1" t="n"/>
      <c r="Q1" s="1" t="n"/>
      <c r="R1" s="1" t="n"/>
      <c r="S1" s="2" t="n"/>
      <c r="T1" s="2" t="n"/>
      <c r="U1" s="2" t="n"/>
      <c r="V1" s="2" t="n"/>
      <c r="W1" s="2" t="n"/>
      <c r="X1" s="2" t="n"/>
      <c r="Y1" s="2" t="n"/>
      <c r="Z1" s="2" t="n"/>
      <c r="AA1" s="2" t="n"/>
      <c r="AB1" s="2" t="n"/>
      <c r="AC1" s="2" t="n"/>
    </row>
    <row r="2" ht="27" customHeight="1">
      <c r="A2" s="1" t="n"/>
      <c r="B2" s="1" t="n"/>
      <c r="E2" s="1" t="n"/>
      <c r="F2" s="3" t="inlineStr">
        <is>
          <t>TÀI LIỆU KIỂM THỬ TÍCH HỢP (TEST CASES)</t>
        </is>
      </c>
      <c r="G2" s="1" t="n"/>
      <c r="H2" s="1" t="n"/>
      <c r="I2" s="2" t="n"/>
      <c r="J2" s="1" t="n"/>
      <c r="K2" s="1" t="n"/>
      <c r="L2" s="1" t="n"/>
      <c r="M2" s="1" t="n"/>
      <c r="N2" s="1" t="n"/>
      <c r="O2" s="1" t="n"/>
      <c r="P2" s="1" t="n"/>
      <c r="Q2" s="1" t="n"/>
      <c r="R2" s="1" t="n"/>
      <c r="S2" s="2" t="n"/>
      <c r="T2" s="2" t="n"/>
      <c r="U2" s="2" t="n"/>
      <c r="V2" s="2" t="n"/>
      <c r="W2" s="2" t="n"/>
      <c r="X2" s="2" t="n"/>
      <c r="Y2" s="2" t="n"/>
      <c r="Z2" s="2" t="n"/>
      <c r="AA2" s="2" t="n"/>
      <c r="AB2" s="2" t="n"/>
      <c r="AC2" s="2" t="n"/>
    </row>
    <row r="3" ht="15.75" customHeight="1">
      <c r="A3" s="4" t="n"/>
      <c r="B3" s="4" t="n"/>
      <c r="E3" s="1" t="n"/>
      <c r="F3" s="1" t="n"/>
      <c r="G3" s="1" t="n"/>
      <c r="H3" s="1" t="n"/>
      <c r="I3" s="2" t="n"/>
      <c r="J3" s="1" t="n"/>
      <c r="K3" s="4" t="n"/>
      <c r="L3" s="1" t="n"/>
      <c r="M3" s="5" t="inlineStr">
        <is>
          <t>Vòng 1</t>
        </is>
      </c>
      <c r="N3" s="5" t="inlineStr">
        <is>
          <t>Vòng 2</t>
        </is>
      </c>
      <c r="O3" s="1" t="n"/>
      <c r="P3" s="1" t="n"/>
      <c r="Q3" s="4" t="n"/>
      <c r="R3" s="1" t="n"/>
      <c r="S3" s="2" t="n"/>
      <c r="T3" s="2" t="n"/>
      <c r="U3" s="2" t="n"/>
      <c r="V3" s="2" t="n"/>
      <c r="W3" s="2" t="n"/>
      <c r="X3" s="2" t="n"/>
      <c r="Y3" s="2" t="n"/>
      <c r="Z3" s="2" t="n"/>
      <c r="AA3" s="2" t="n"/>
      <c r="AB3" s="2" t="n"/>
      <c r="AC3" s="2" t="n"/>
    </row>
    <row r="4" ht="15.75" customHeight="1">
      <c r="A4" s="4" t="n"/>
      <c r="B4" s="4" t="n"/>
      <c r="E4" s="1" t="n"/>
      <c r="F4" s="6" t="inlineStr">
        <is>
          <t>Mã Module: TC-Analytics-Reports</t>
        </is>
      </c>
      <c r="G4" s="7" t="n"/>
      <c r="H4" s="163" t="n"/>
      <c r="I4" s="2" t="n"/>
      <c r="J4" s="1" t="n"/>
      <c r="K4" s="9" t="inlineStr">
        <is>
          <t>Summary</t>
        </is>
      </c>
      <c r="L4" s="10" t="inlineStr">
        <is>
          <t>Chưa làm (N)</t>
        </is>
      </c>
      <c r="M4" s="11">
        <f>COUNTIF(H13:H17,"N")</f>
        <v/>
      </c>
      <c r="N4" s="11">
        <f>COUNTIF(J13:J17,"N")</f>
        <v/>
      </c>
      <c r="O4" s="1" t="n"/>
      <c r="P4" s="1" t="n"/>
      <c r="Q4" s="1" t="n"/>
      <c r="R4" s="1" t="n"/>
      <c r="S4" s="2" t="n"/>
      <c r="T4" s="2" t="n"/>
      <c r="U4" s="2" t="n"/>
      <c r="V4" s="2" t="n"/>
      <c r="W4" s="2" t="n"/>
      <c r="X4" s="2" t="n"/>
      <c r="Y4" s="2" t="n"/>
      <c r="Z4" s="2" t="n"/>
      <c r="AA4" s="2" t="n"/>
      <c r="AB4" s="2" t="n"/>
      <c r="AC4" s="2" t="n"/>
    </row>
    <row r="5" ht="15.75" customHeight="1">
      <c r="A5" s="4" t="n"/>
      <c r="B5" s="4" t="n"/>
      <c r="E5" s="1" t="n"/>
      <c r="F5" s="6" t="inlineStr">
        <is>
          <t>Tên Module: 9. Báo Cáo Thống Kê &amp; Phân Tích Hiệu Suất (Analytics &amp; Reports)</t>
        </is>
      </c>
      <c r="G5" s="7" t="n"/>
      <c r="H5" s="163" t="n"/>
      <c r="I5" s="2" t="n"/>
      <c r="J5" s="1" t="n"/>
      <c r="K5" s="187" t="n"/>
      <c r="L5" s="10" t="inlineStr">
        <is>
          <t>Đạt (OK)</t>
        </is>
      </c>
      <c r="M5" s="11">
        <f>COUNTIF(H13:H17,"OK")</f>
        <v/>
      </c>
      <c r="N5" s="11">
        <f>COUNTIF(J13:J17,"OK")</f>
        <v/>
      </c>
      <c r="O5" s="1" t="n"/>
      <c r="P5" s="1" t="n"/>
      <c r="Q5" s="1" t="n"/>
      <c r="R5" s="1" t="n"/>
      <c r="S5" s="2" t="n"/>
      <c r="T5" s="2" t="n"/>
      <c r="U5" s="2" t="n"/>
      <c r="V5" s="2" t="n"/>
      <c r="W5" s="2" t="n"/>
      <c r="X5" s="2" t="n"/>
      <c r="Y5" s="2" t="n"/>
      <c r="Z5" s="2" t="n"/>
      <c r="AA5" s="2" t="n"/>
      <c r="AB5" s="2" t="n"/>
      <c r="AC5" s="2" t="n"/>
    </row>
    <row r="6" ht="15.75" customHeight="1">
      <c r="A6" s="4" t="n"/>
      <c r="B6" s="4" t="n"/>
      <c r="E6" s="1" t="n"/>
      <c r="F6" s="6" t="inlineStr">
        <is>
          <t>Người tạo</t>
        </is>
      </c>
      <c r="G6" s="7" t="inlineStr">
        <is>
          <t>QA Tester</t>
        </is>
      </c>
      <c r="H6" s="163" t="n"/>
      <c r="I6" s="2" t="n"/>
      <c r="J6" s="1" t="n"/>
      <c r="K6" s="187" t="n"/>
      <c r="L6" s="10" t="inlineStr">
        <is>
          <t>Lỗi (NG)</t>
        </is>
      </c>
      <c r="M6" s="11">
        <f>COUNTIF(H13:H17,"NG")</f>
        <v/>
      </c>
      <c r="N6" s="11">
        <f>COUNTIF(J13:J17,"NG")</f>
        <v/>
      </c>
      <c r="O6" s="1" t="n"/>
      <c r="P6" s="1" t="n"/>
      <c r="Q6" s="1" t="n"/>
      <c r="R6" s="1" t="n"/>
      <c r="S6" s="2" t="n"/>
      <c r="T6" s="2" t="n"/>
      <c r="U6" s="2" t="n"/>
      <c r="V6" s="2" t="n"/>
      <c r="W6" s="2" t="n"/>
      <c r="X6" s="2" t="n"/>
      <c r="Y6" s="2" t="n"/>
      <c r="Z6" s="2" t="n"/>
      <c r="AA6" s="2" t="n"/>
      <c r="AB6" s="2" t="n"/>
      <c r="AC6" s="2" t="n"/>
    </row>
    <row r="7" ht="15.75" customHeight="1">
      <c r="A7" s="4" t="n"/>
      <c r="B7" s="4" t="n"/>
      <c r="E7" s="1" t="n"/>
      <c r="F7" s="6" t="inlineStr">
        <is>
          <t>Ngày tạo</t>
        </is>
      </c>
      <c r="G7" s="179" t="n">
        <v>46279.55053574074</v>
      </c>
      <c r="H7" s="163" t="n"/>
      <c r="I7" s="2" t="n"/>
      <c r="J7" s="1" t="n"/>
      <c r="K7" s="187" t="n"/>
      <c r="L7" s="10" t="inlineStr">
        <is>
          <t>Tạm hoãn (P)</t>
        </is>
      </c>
      <c r="M7" s="11">
        <f>COUNTIF(H13:H17,"P")</f>
        <v/>
      </c>
      <c r="N7" s="11">
        <f>COUNTIF(J13:J17,"P")</f>
        <v/>
      </c>
      <c r="O7" s="1" t="n"/>
      <c r="P7" s="1" t="n"/>
      <c r="Q7" s="1" t="n"/>
      <c r="R7" s="1" t="n"/>
      <c r="S7" s="2" t="n"/>
      <c r="T7" s="2" t="n"/>
      <c r="U7" s="2" t="n"/>
      <c r="V7" s="2" t="n"/>
      <c r="W7" s="2" t="n"/>
      <c r="X7" s="2" t="n"/>
      <c r="Y7" s="2" t="n"/>
      <c r="Z7" s="2" t="n"/>
      <c r="AA7" s="2" t="n"/>
      <c r="AB7" s="2" t="n"/>
      <c r="AC7" s="2" t="n"/>
    </row>
    <row r="8" ht="15.75" customHeight="1">
      <c r="A8" s="4" t="n"/>
      <c r="B8" s="4" t="n"/>
      <c r="E8" s="1" t="n"/>
      <c r="F8" s="6" t="inlineStr">
        <is>
          <t>Người cập nhật</t>
        </is>
      </c>
      <c r="G8" s="7" t="inlineStr">
        <is>
          <t>QA Tester</t>
        </is>
      </c>
      <c r="H8" s="163" t="n"/>
      <c r="I8" s="2" t="n"/>
      <c r="J8" s="1" t="n"/>
      <c r="K8" s="187" t="n"/>
      <c r="L8" s="10" t="inlineStr">
        <is>
          <t>Bỏ qua (X)</t>
        </is>
      </c>
      <c r="M8" s="11">
        <f>COUNTIF(H13:H17,"X")</f>
        <v/>
      </c>
      <c r="N8" s="11">
        <f>COUNTIF(J13:J17,"X")</f>
        <v/>
      </c>
      <c r="O8" s="1" t="n"/>
      <c r="P8" s="1" t="n"/>
      <c r="Q8" s="1" t="n"/>
      <c r="R8" s="1" t="n"/>
      <c r="S8" s="2" t="n"/>
      <c r="T8" s="2" t="n"/>
      <c r="U8" s="2" t="n"/>
      <c r="V8" s="2" t="n"/>
      <c r="W8" s="2" t="n"/>
      <c r="X8" s="2" t="n"/>
      <c r="Y8" s="2" t="n"/>
      <c r="Z8" s="2" t="n"/>
      <c r="AA8" s="2" t="n"/>
      <c r="AB8" s="2" t="n"/>
      <c r="AC8" s="2" t="n"/>
    </row>
    <row r="9" ht="15.75" customHeight="1">
      <c r="A9" s="4" t="n"/>
      <c r="B9" s="4" t="n"/>
      <c r="E9" s="1" t="n"/>
      <c r="F9" s="6" t="inlineStr">
        <is>
          <t>Ngày cập nhật</t>
        </is>
      </c>
      <c r="G9" s="179" t="n">
        <v>46279.55053574074</v>
      </c>
      <c r="H9" s="163" t="n"/>
      <c r="I9" s="2" t="n"/>
      <c r="J9" s="1" t="n"/>
      <c r="K9" s="188" t="n"/>
      <c r="L9" s="10" t="inlineStr">
        <is>
          <t>Tổng cộng</t>
        </is>
      </c>
      <c r="M9" s="11">
        <f>SUM(K4:K8)</f>
        <v/>
      </c>
      <c r="N9" s="11">
        <f>SUM(K4:K8)</f>
        <v/>
      </c>
      <c r="O9" s="1" t="n"/>
      <c r="P9" s="1" t="n"/>
      <c r="Q9" s="1" t="n"/>
      <c r="R9" s="1" t="n"/>
      <c r="S9" s="2" t="n"/>
      <c r="T9" s="2" t="n"/>
      <c r="U9" s="2" t="n"/>
      <c r="V9" s="2" t="n"/>
      <c r="W9" s="2" t="n"/>
      <c r="X9" s="2" t="n"/>
      <c r="Y9" s="2" t="n"/>
      <c r="Z9" s="2" t="n"/>
      <c r="AA9" s="2" t="n"/>
      <c r="AB9" s="2" t="n"/>
      <c r="AC9" s="2" t="n"/>
    </row>
    <row r="10" ht="15.75" customHeight="1">
      <c r="A10" s="4" t="n"/>
      <c r="B10" s="4" t="n"/>
      <c r="E10" s="4" t="n"/>
      <c r="F10" s="4" t="n"/>
      <c r="G10" s="4" t="n"/>
      <c r="H10" s="4" t="n"/>
      <c r="I10" s="2" t="n"/>
      <c r="J10" s="4" t="n"/>
      <c r="K10" s="4" t="n"/>
      <c r="L10" s="4" t="n"/>
      <c r="M10" s="4" t="n"/>
      <c r="N10" s="4" t="n"/>
      <c r="O10" s="4" t="n"/>
      <c r="P10" s="1" t="n"/>
      <c r="Q10" s="1" t="n"/>
      <c r="R10" s="1" t="n"/>
      <c r="S10" s="2" t="n"/>
      <c r="T10" s="2" t="n"/>
      <c r="U10" s="2" t="n"/>
      <c r="V10" s="2" t="n"/>
      <c r="W10" s="2" t="n"/>
      <c r="X10" s="2" t="n"/>
      <c r="Y10" s="2" t="n"/>
      <c r="Z10" s="2" t="n"/>
      <c r="AA10" s="2" t="n"/>
      <c r="AB10" s="2" t="n"/>
      <c r="AC10" s="2" t="n"/>
    </row>
    <row r="11" ht="15.75"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c r="S11" s="2" t="n"/>
      <c r="T11" s="2" t="n"/>
      <c r="U11" s="2" t="n"/>
      <c r="V11" s="2" t="n"/>
      <c r="W11" s="2" t="n"/>
      <c r="X11" s="2" t="n"/>
      <c r="Y11" s="2" t="n"/>
      <c r="Z11" s="2" t="n"/>
      <c r="AA11" s="2" t="n"/>
      <c r="AB11" s="2" t="n"/>
      <c r="AC11" s="2" t="n"/>
    </row>
    <row r="12" ht="33"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c r="S12" s="2" t="n"/>
      <c r="T12" s="2" t="n"/>
      <c r="U12" s="2" t="n"/>
      <c r="V12" s="2" t="n"/>
      <c r="W12" s="2" t="n"/>
      <c r="X12" s="2" t="n"/>
      <c r="Y12" s="2" t="n"/>
      <c r="Z12" s="2" t="n"/>
      <c r="AA12" s="2" t="n"/>
      <c r="AB12" s="2" t="n"/>
      <c r="AC12" s="2" t="n"/>
    </row>
    <row r="13" ht="36" customHeight="1">
      <c r="A13" s="16" t="n"/>
      <c r="B13" s="19" t="n">
        <v>1</v>
      </c>
      <c r="C13" s="196" t="inlineStr">
        <is>
          <t>wsadmin.kinghub@gmail.com
omnichat.kinghub@gmail.com</t>
        </is>
      </c>
      <c r="D13" s="197" t="inlineStr">
        <is>
          <t>WS Admin / Agent</t>
        </is>
      </c>
      <c r="E13" s="20" t="inlineStr">
        <is>
          <t>[ANA-OVR-001] Xem Báo cáo Tổng quan hiệu suất đa kênh (Overview Analytics Dashboard)</t>
        </is>
      </c>
      <c r="F13" s="20" t="inlineStr">
        <is>
          <t>Trang /app/analytics</t>
        </is>
      </c>
      <c r="G13" s="20" t="inlineStr">
        <is>
          <t>1. Chọn khoảng thời gian: '30 ngày qua'
2. Chọn phạm vi: 'Tất cả các kênh'</t>
        </is>
      </c>
      <c r="H13" s="21" t="inlineStr">
        <is>
          <t>Hiển thị các thẻ chỉ số tổng hợp chính xác: Tổng số bài đã đăng, Tổng lượt tiếp cận (Reach), Tổng lượt hiển thị (Impressions), Tổng tương tác (Engagement), Tỷ lệ tương tác trung bình (Engagement Rate) kèm biểu đồ so sánh với kỳ trước</t>
        </is>
      </c>
      <c r="I13" s="21" t="inlineStr">
        <is>
          <t>- Đã hiển thị đúng các thẻ chỉ số tổng hợp chính xác: Tổng số bài đã đăng, Tổng lượt tiếp cận (Reach), Tổng lượt hiển thị (Impressions), Tổng tương tác (Engagement), Tỷ lệ tương tác trung bình (Engagement Rate) kèm biểu đồ so sánh với kỳ trước</t>
        </is>
      </c>
      <c r="J13" s="22" t="inlineStr">
        <is>
          <t>OK</t>
        </is>
      </c>
      <c r="K13" s="180" t="inlineStr">
        <is>
          <t>QA Tester</t>
        </is>
      </c>
      <c r="L13" s="181" t="inlineStr">
        <is>
          <t>14/09/2026</t>
        </is>
      </c>
      <c r="M13" s="19" t="n"/>
      <c r="N13" s="182" t="n"/>
      <c r="O13" s="183" t="n"/>
      <c r="P13" s="27" t="n"/>
      <c r="Q13" s="21" t="n"/>
      <c r="R13" s="28" t="n"/>
      <c r="S13" s="29" t="n"/>
      <c r="T13" s="29" t="n"/>
      <c r="U13" s="29" t="n"/>
      <c r="V13" s="29" t="n"/>
      <c r="W13" s="29" t="n"/>
      <c r="X13" s="29" t="n"/>
      <c r="Y13" s="29" t="n"/>
      <c r="Z13" s="29" t="n"/>
      <c r="AA13" s="29" t="n"/>
      <c r="AB13" s="29" t="n"/>
      <c r="AC13" s="29" t="n"/>
    </row>
    <row r="14" ht="36" customHeight="1">
      <c r="A14" s="16" t="n"/>
      <c r="B14" s="19" t="n">
        <v>2</v>
      </c>
      <c r="C14" s="196" t="inlineStr">
        <is>
          <t>wsadmin.kinghub@gmail.com
omnichat.kinghub@gmail.com</t>
        </is>
      </c>
      <c r="D14" s="197" t="inlineStr">
        <is>
          <t>WS Admin / Agent</t>
        </is>
      </c>
      <c r="E14" s="20" t="inlineStr">
        <is>
          <t>[ANA-GRW-001] Xem Biểu đồ tăng trưởng Người theo dõi (Follower Growth Chart)</t>
        </is>
      </c>
      <c r="F14" s="20" t="inlineStr">
        <is>
          <t>Trang Analytics</t>
        </is>
      </c>
      <c r="G14" s="20" t="inlineStr">
        <is>
          <t>1. Chọn kênh Fanpage Facebook và Instagram
2. Xem biểu đồ đường tăng trưởng follower theo từng ngày trong tháng</t>
        </is>
      </c>
      <c r="H14" s="21" t="inlineStr">
        <is>
          <t>Biểu đồ đường hiển thị mượt mà số lượng follower tăng/giảm theo từng mốc thời gian</t>
        </is>
      </c>
      <c r="I14" s="21" t="inlineStr">
        <is>
          <t>- Biểu đồ đường hiển thị mượt mà số lượng follower tăng/giảm theo từng mốc thời gian</t>
        </is>
      </c>
      <c r="J14" s="22" t="inlineStr">
        <is>
          <t>OK</t>
        </is>
      </c>
      <c r="K14" s="180" t="inlineStr">
        <is>
          <t>QA Tester</t>
        </is>
      </c>
      <c r="L14" s="181" t="inlineStr">
        <is>
          <t>14/09/2026</t>
        </is>
      </c>
      <c r="M14" s="19" t="n"/>
      <c r="N14" s="182" t="n"/>
      <c r="O14" s="183" t="n"/>
      <c r="P14" s="27" t="n"/>
      <c r="Q14" s="21" t="n"/>
      <c r="R14" s="28" t="n"/>
      <c r="S14" s="29" t="n"/>
      <c r="T14" s="29" t="n"/>
      <c r="U14" s="29" t="n"/>
      <c r="V14" s="29" t="n"/>
      <c r="W14" s="29" t="n"/>
      <c r="X14" s="29" t="n"/>
      <c r="Y14" s="29" t="n"/>
      <c r="Z14" s="29" t="n"/>
      <c r="AA14" s="29" t="n"/>
      <c r="AB14" s="29" t="n"/>
      <c r="AC14" s="29" t="n"/>
    </row>
    <row r="15" ht="36" customHeight="1">
      <c r="A15" s="16" t="n"/>
      <c r="B15" s="19" t="n">
        <v>3</v>
      </c>
      <c r="C15" s="196" t="inlineStr">
        <is>
          <t>wsadmin.kinghub@gmail.com
omnichat.kinghub@gmail.com</t>
        </is>
      </c>
      <c r="D15" s="197" t="inlineStr">
        <is>
          <t>WS Admin / Agent</t>
        </is>
      </c>
      <c r="E15" s="20" t="inlineStr">
        <is>
          <t>[ANA-TOP-001] Thống kê danh sách bài viết có hiệu quả tương tác cao nhất (Top Performing Posts)</t>
        </is>
      </c>
      <c r="F15" s="20" t="inlineStr">
        <is>
          <t>Trang Analytics bài viết</t>
        </is>
      </c>
      <c r="G15" s="20" t="inlineStr">
        <is>
          <t>1. Chọn sắp xếp theo 'Lượt Like cao nhất' hoặc 'Lượt Bình luận nhiều nhất' hoặc 'Lượt Chia sẻ cao nhất'</t>
        </is>
      </c>
      <c r="H15" s="21" t="inlineStr">
        <is>
          <t>Bảng danh sách xếp hạng chính xác các bài viết có tương tác tốt nhất kèm thumbnail và số liệu chi tiết từng bài</t>
        </is>
      </c>
      <c r="I15" s="21" t="inlineStr">
        <is>
          <t>- Bảng danh sách xếp hạng chính xác các bài viết có tương tác tốt nhất kèm thumbnail và số liệu chi tiết từng bài</t>
        </is>
      </c>
      <c r="J15" s="22" t="inlineStr">
        <is>
          <t>OK</t>
        </is>
      </c>
      <c r="K15" s="180" t="inlineStr">
        <is>
          <t>QA Tester</t>
        </is>
      </c>
      <c r="L15" s="181" t="inlineStr">
        <is>
          <t>14/09/2026</t>
        </is>
      </c>
      <c r="M15" s="19" t="n"/>
      <c r="N15" s="182" t="n"/>
      <c r="O15" s="183" t="n"/>
      <c r="P15" s="27" t="n"/>
      <c r="Q15" s="21" t="n"/>
      <c r="R15" s="28" t="n"/>
      <c r="S15" s="29" t="n"/>
      <c r="T15" s="29" t="n"/>
      <c r="U15" s="29" t="n"/>
      <c r="V15" s="29" t="n"/>
      <c r="W15" s="29" t="n"/>
      <c r="X15" s="29" t="n"/>
      <c r="Y15" s="29" t="n"/>
      <c r="Z15" s="29" t="n"/>
      <c r="AA15" s="29" t="n"/>
      <c r="AB15" s="29" t="n"/>
      <c r="AC15" s="29" t="n"/>
    </row>
    <row r="16" ht="36" customHeight="1">
      <c r="A16" s="16" t="n"/>
      <c r="B16" s="19" t="n">
        <v>4</v>
      </c>
      <c r="C16" s="196" t="inlineStr">
        <is>
          <t>wsadmin.kinghub@gmail.com
omnichat.kinghub@gmail.com</t>
        </is>
      </c>
      <c r="D16" s="197" t="inlineStr">
        <is>
          <t>WS Admin / Agent</t>
        </is>
      </c>
      <c r="E16" s="20" t="inlineStr">
        <is>
          <t>[ANA-AGT-001] Báo cáo năng suất và hiệu quả làm việc của Nhân viên CSKH (Agent Performance Report)</t>
        </is>
      </c>
      <c r="F16" s="20" t="inlineStr">
        <is>
          <t>Owner / Admin tại /omnichat/analytics</t>
        </is>
      </c>
      <c r="G16" s="20" t="inlineStr">
        <is>
          <t>1. Chọn khoảng thời gian: 'Tuần này'
2. Xem bảng xếp hạng nhân viên</t>
        </is>
      </c>
      <c r="H16" s="21" t="inlineStr">
        <is>
          <t>Thống kê chi tiết từng nhân viên: Số hội thoại đã tiếp nhận, Thời gian phản hồi tin nhắn đầu tiên (First Response Time - FRT trung bình), Tỷ lệ giải quyết hội thoại thành công</t>
        </is>
      </c>
      <c r="I16" s="21" t="inlineStr">
        <is>
          <t>- Thực tế ghi nhận: Thống kê chi tiết từng nhân viên: Số hội thoại đã tiếp nhận, Thời gian phản hồi tin nhắn đầu tiên (First Response Time - FRT trung bình), Tỷ lệ giải quyết hội thoại thành công</t>
        </is>
      </c>
      <c r="J16" s="22" t="inlineStr">
        <is>
          <t>OK</t>
        </is>
      </c>
      <c r="K16" s="180" t="inlineStr">
        <is>
          <t>QA Tester</t>
        </is>
      </c>
      <c r="L16" s="181" t="inlineStr">
        <is>
          <t>14/09/2026</t>
        </is>
      </c>
      <c r="M16" s="19" t="n"/>
      <c r="N16" s="182" t="n"/>
      <c r="O16" s="183" t="n"/>
      <c r="P16" s="27" t="n"/>
      <c r="Q16" s="21" t="n"/>
      <c r="R16" s="28" t="n"/>
      <c r="S16" s="29" t="n"/>
      <c r="T16" s="29" t="n"/>
      <c r="U16" s="29" t="n"/>
      <c r="V16" s="29" t="n"/>
      <c r="W16" s="29" t="n"/>
      <c r="X16" s="29" t="n"/>
      <c r="Y16" s="29" t="n"/>
      <c r="Z16" s="29" t="n"/>
      <c r="AA16" s="29" t="n"/>
      <c r="AB16" s="29" t="n"/>
      <c r="AC16" s="29" t="n"/>
    </row>
    <row r="17" ht="36" customHeight="1">
      <c r="A17" s="16" t="n"/>
      <c r="B17" s="19" t="n">
        <v>5</v>
      </c>
      <c r="C17" s="196" t="inlineStr">
        <is>
          <t>wsadmin.kinghub@gmail.com
omnichat.kinghub@gmail.com</t>
        </is>
      </c>
      <c r="D17" s="197" t="inlineStr">
        <is>
          <t>WS Admin / Agent</t>
        </is>
      </c>
      <c r="E17" s="20" t="inlineStr">
        <is>
          <t>[ANA-EXP-001] Xuất Báo cáo thống kê ra file Excel (.xlsx) và PDF</t>
        </is>
      </c>
      <c r="F17" s="20" t="inlineStr">
        <is>
          <t>Trang Analytics</t>
        </is>
      </c>
      <c r="G17" s="20" t="inlineStr">
        <is>
          <t>1. Bấm nút 'Xuất báo cáo (Export Report)'
2. Chọn định dạng 'Excel (.xlsx)'
3. Bấm 'Tải về'</t>
        </is>
      </c>
      <c r="H17" s="21" t="inlineStr">
        <is>
          <t>Tải xuống file Excel có cấu trúc đẹp mắt, đầy đủ các bảng dữ liệu số liệu chi tiết theo đúng khoảng thời gian và kênh đã chọn</t>
        </is>
      </c>
      <c r="I17" s="21" t="inlineStr">
        <is>
          <t>- Thực tế ghi nhận: Tải xuống file Excel có cấu trúc đẹp mắt, đầy đủ các bảng dữ liệu số liệu chi tiết theo đúng khoảng thời gian và kênh đã chọn</t>
        </is>
      </c>
      <c r="J17" s="22" t="inlineStr">
        <is>
          <t>OK</t>
        </is>
      </c>
      <c r="K17" s="180" t="inlineStr">
        <is>
          <t>QA Tester</t>
        </is>
      </c>
      <c r="L17" s="181" t="inlineStr">
        <is>
          <t>14/09/2026</t>
        </is>
      </c>
      <c r="M17" s="19" t="n"/>
      <c r="N17" s="182" t="n"/>
      <c r="O17" s="183" t="n"/>
      <c r="P17" s="27" t="n"/>
      <c r="Q17" s="21" t="n"/>
      <c r="R17" s="28" t="n"/>
      <c r="S17" s="29" t="n"/>
      <c r="T17" s="29" t="n"/>
      <c r="U17" s="29" t="n"/>
      <c r="V17" s="29" t="n"/>
      <c r="W17" s="29" t="n"/>
      <c r="X17" s="29" t="n"/>
      <c r="Y17" s="29" t="n"/>
      <c r="Z17" s="29" t="n"/>
      <c r="AA17" s="29" t="n"/>
      <c r="AB17" s="29" t="n"/>
      <c r="AC17" s="29" t="n"/>
    </row>
    <row r="18" ht="13.9" customHeight="1"/>
    <row r="19" ht="13.9" customHeight="1"/>
    <row r="20" ht="13.9" customHeight="1"/>
    <row r="21" ht="13.9" customHeight="1"/>
    <row r="22" ht="13.9" customHeight="1"/>
    <row r="23" ht="13.9" customHeight="1"/>
    <row r="24" ht="13.9" customHeight="1"/>
    <row r="25" ht="13.9" customHeight="1"/>
    <row r="26" ht="13.9" customHeight="1"/>
    <row r="27" ht="13.9" customHeight="1"/>
    <row r="28" ht="13.9" customHeight="1"/>
    <row r="29" ht="13.9" customHeight="1"/>
    <row r="30" ht="13.9" customHeight="1"/>
    <row r="31" ht="13.9" customHeight="1"/>
    <row r="32" ht="16.5" customHeight="1"/>
    <row r="33" ht="16.5" customHeight="1"/>
    <row r="34" ht="16.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4:F4"/>
    <mergeCell ref="E6:F6"/>
    <mergeCell ref="E7:F7"/>
    <mergeCell ref="I4:I9"/>
    <mergeCell ref="E5:F5"/>
    <mergeCell ref="E9:F9"/>
    <mergeCell ref="H11:J11"/>
    <mergeCell ref="E8:F8"/>
    <mergeCell ref="K11:M11"/>
  </mergeCells>
  <pageMargins left="0.75" right="0.75" top="1" bottom="1" header="0" footer="0"/>
  <pageSetup orientation="landscape" paperSize="1" scale="38"/>
</worksheet>
</file>

<file path=xl/worksheets/sheet14.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TC-P2-Post-Composer</t>
        </is>
      </c>
      <c r="F4" s="6" t="inlineStr">
        <is>
          <t>Mã Module: TC-Post-Composer</t>
        </is>
      </c>
      <c r="G4" s="7" t="n"/>
      <c r="H4" s="163" t="n"/>
      <c r="I4" s="2" t="n"/>
      <c r="J4" s="1" t="n"/>
      <c r="K4" s="9" t="inlineStr">
        <is>
          <t>Summary</t>
        </is>
      </c>
      <c r="L4" s="10" t="inlineStr">
        <is>
          <t>Chưa làm (N)</t>
        </is>
      </c>
      <c r="M4" s="11">
        <f>COUNTIF(H13:H39,"N")</f>
        <v/>
      </c>
      <c r="N4" s="11">
        <f>COUNTIF(J13:J28,"N")</f>
        <v/>
      </c>
      <c r="O4" s="1" t="n"/>
      <c r="P4" s="1" t="n"/>
      <c r="Q4" s="1" t="n"/>
      <c r="R4" s="1" t="n"/>
    </row>
    <row r="5" ht="48" customHeight="1">
      <c r="A5" s="4" t="n"/>
      <c r="B5" s="4" t="n"/>
      <c r="E5" s="1" t="inlineStr">
        <is>
          <t>Tên Module: 10. Trình Soạn Thảo – Mở rộng: Validation, Giới hạn nền tảng, API &amp; Queue (Phase 2)</t>
        </is>
      </c>
      <c r="F5" s="6" t="inlineStr">
        <is>
          <t>Tên Module: 3. Trình Soạn Thảo &amp; Xuất Bản Bài Viết Đa Kênh (Post Composer)</t>
        </is>
      </c>
      <c r="G5" s="7" t="n"/>
      <c r="H5" s="163" t="n"/>
      <c r="I5" s="2" t="n"/>
      <c r="J5" s="1" t="n"/>
      <c r="K5" s="187" t="n"/>
      <c r="L5" s="10" t="inlineStr">
        <is>
          <t>Đạt (OK)</t>
        </is>
      </c>
      <c r="M5" s="11">
        <f>COUNTIF(H13:H39,"OK")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COUNTIF(H13:H39,"NG")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COUNTIF(H13:H39,"P")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COUNTIF(H13:H39,"X")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fullmember.kinghub@gmail.com
content.kinghub@gmail.com</t>
        </is>
      </c>
      <c r="D13" s="197" t="inlineStr">
        <is>
          <t>Full Member / Content</t>
        </is>
      </c>
      <c r="E13" s="20" t="inlineStr">
        <is>
          <t>[PC-LIM-001] Biên giới hạn ký tự X (280) – Vượt 1 ký tự</t>
        </is>
      </c>
      <c r="F13" s="20" t="inlineStr">
        <is>
          <t>Trình soạn bài, đã chọn 1 kênh X (Twitter)</t>
        </is>
      </c>
      <c r="G13" s="20" t="inlineStr">
        <is>
          <t>1. Soạn content dài 281 ký tự
2. Chọn kênh X
3. Bấm Lên lịch → Gửi PUT /posts/{post} với {status: "scheduled", content: 281 ký tự, scheduled_at: giờ tới}</t>
        </is>
      </c>
      <c r="H13" s="21" t="inlineStr">
        <is>
          <t>HTTP 422, lỗi 422 validation trên content: "Nội dung vượt quá giới hạn 280 ký tự của X (vượt 1 ký tự)" (key trans posts.form.content_exceeds_platform, limit=280)</t>
        </is>
      </c>
      <c r="I13" s="21" t="n"/>
      <c r="J13" s="22" t="inlineStr">
        <is>
          <t>N</t>
        </is>
      </c>
      <c r="K13" s="180" t="n"/>
      <c r="L13" s="181" t="n"/>
      <c r="M13" s="19" t="n"/>
      <c r="N13" s="182" t="n"/>
      <c r="O13" s="183" t="n"/>
      <c r="P13" s="27" t="n"/>
      <c r="Q13" s="2" t="n"/>
      <c r="R13" s="2" t="n"/>
    </row>
    <row r="14" ht="36" customHeight="1">
      <c r="A14" s="16" t="n"/>
      <c r="B14" s="19" t="n">
        <v>2</v>
      </c>
      <c r="C14" s="196" t="inlineStr">
        <is>
          <t>fullmember.kinghub@gmail.com
content.kinghub@gmail.com</t>
        </is>
      </c>
      <c r="D14" s="197" t="inlineStr">
        <is>
          <t>Full Member / Content</t>
        </is>
      </c>
      <c r="E14" s="20" t="inlineStr">
        <is>
          <t>[PC-LIM-002] Biên giới hạn ký tự X – Đúng 280 ký tự (Pass biên)</t>
        </is>
      </c>
      <c r="F14" s="20" t="inlineStr">
        <is>
          <t>Trình soạn bài, đã chọn 1 kênh X</t>
        </is>
      </c>
      <c r="G14" s="20" t="inlineStr">
        <is>
          <t>1. Soạn content đúng 280 ký tự
2. PUT /posts/{post} {status: "scheduled", scheduled_at: giờ tới}</t>
        </is>
      </c>
      <c r="H14" s="21" t="inlineStr">
        <is>
          <t>Lưu thành công, bài chuyển trạng thái Scheduled, không lỗi content</t>
        </is>
      </c>
      <c r="I14" s="21" t="n"/>
      <c r="J14" s="22" t="inlineStr">
        <is>
          <t>N</t>
        </is>
      </c>
      <c r="K14" s="180" t="n"/>
      <c r="L14" s="181" t="n"/>
      <c r="M14" s="19" t="n"/>
      <c r="N14" s="182" t="n"/>
      <c r="O14" s="183" t="n"/>
      <c r="P14" s="27" t="n"/>
      <c r="Q14" s="2" t="n"/>
      <c r="R14" s="2" t="n"/>
    </row>
    <row r="15" ht="36" customHeight="1">
      <c r="A15" s="16" t="n"/>
      <c r="B15" s="19" t="n">
        <v>3</v>
      </c>
      <c r="C15" s="196" t="inlineStr">
        <is>
          <t>fullmember.kinghub@gmail.com
content.kinghub@gmail.com</t>
        </is>
      </c>
      <c r="D15" s="197" t="inlineStr">
        <is>
          <t>Full Member / Content</t>
        </is>
      </c>
      <c r="E15" s="20" t="inlineStr">
        <is>
          <t>[PC-LIM-003] custom_content riêng kênh Threads vượt 500 ký tự</t>
        </is>
      </c>
      <c r="F15" s="20" t="inlineStr">
        <is>
          <t>Đã chọn Facebook + Threads, bật Tùy biến từng kênh</t>
        </is>
      </c>
      <c r="G15" s="20" t="inlineStr">
        <is>
          <t>1. Content chung 100 ký tự (hợp lệ)
2. Tab Threads: nhập custom_content 501 ký tự
3. PUT /posts/{post} status=scheduled với platforms[].meta.custom_content</t>
        </is>
      </c>
      <c r="H15" s="21" t="inlineStr">
        <is>
          <t>HTTP 422 trên custom_content của kênh Threads: vượt giới hạn 500 ký tự (ContentFitsPlatformLimits tính theo nội dung riêng từng kênh, không tính content chung)</t>
        </is>
      </c>
      <c r="I15" s="21" t="n"/>
      <c r="J15" s="22" t="inlineStr">
        <is>
          <t>N</t>
        </is>
      </c>
      <c r="K15" s="180" t="n"/>
      <c r="L15" s="181" t="n"/>
      <c r="M15" s="19" t="n"/>
      <c r="N15" s="182" t="n"/>
      <c r="O15" s="183" t="n"/>
      <c r="P15" s="27" t="n"/>
      <c r="Q15" s="2" t="n"/>
      <c r="R15" s="2" t="n"/>
    </row>
    <row r="16" ht="36" customHeight="1">
      <c r="A16" s="16" t="n"/>
      <c r="B16" s="19" t="n">
        <v>4</v>
      </c>
      <c r="C16" s="196" t="inlineStr">
        <is>
          <t>fullmember.kinghub@gmail.com
content.kinghub@gmail.com</t>
        </is>
      </c>
      <c r="D16" s="197" t="inlineStr">
        <is>
          <t>Full Member / Content</t>
        </is>
      </c>
      <c r="E16" s="20" t="inlineStr">
        <is>
          <t>[PC-LIM-004] Instagram không cho phép đăng Text-only</t>
        </is>
      </c>
      <c r="F16" s="20" t="inlineStr">
        <is>
          <t>Đã chọn kênh Instagram (InstagramFeed)</t>
        </is>
      </c>
      <c r="G16" s="20" t="inlineStr">
        <is>
          <t>1. Nhập content, KHÔNG tải ảnh/video
2. PUT /posts/{post} {status: "scheduled", platforms[].content_type: "instagram_feed"}</t>
        </is>
      </c>
      <c r="H16" s="21" t="inlineStr">
        <is>
          <t>HTTP 422: "Instagram requires at least one media file." (ContentTypeCompatibleWithMedia). Lưu Draft thường vẫn được, chỉ chặn khi scheduled/publishing</t>
        </is>
      </c>
      <c r="I16" s="21" t="n"/>
      <c r="J16" s="22" t="inlineStr">
        <is>
          <t>N</t>
        </is>
      </c>
      <c r="K16" s="180" t="n"/>
      <c r="L16" s="181" t="n"/>
      <c r="M16" s="19" t="n"/>
      <c r="N16" s="182" t="n"/>
      <c r="O16" s="183" t="n"/>
      <c r="P16" s="27" t="n"/>
      <c r="Q16" s="2" t="n"/>
      <c r="R16" s="2" t="n"/>
    </row>
    <row r="17" ht="36" customHeight="1">
      <c r="A17" s="16" t="n"/>
      <c r="B17" s="19" t="n">
        <v>5</v>
      </c>
      <c r="C17" s="196" t="inlineStr">
        <is>
          <t>fullmember.kinghub@gmail.com
content.kinghub@gmail.com</t>
        </is>
      </c>
      <c r="D17" s="197" t="inlineStr">
        <is>
          <t>Full Member / Content</t>
        </is>
      </c>
      <c r="E17" s="20" t="inlineStr">
        <is>
          <t>[PC-LIM-005] TikTok thiếu privacy_level khi lên lịch</t>
        </is>
      </c>
      <c r="F17" s="20" t="inlineStr">
        <is>
          <t>Đã chọn kênh TikTok, có video 9:16</t>
        </is>
      </c>
      <c r="G17" s="20" t="inlineStr">
        <is>
          <t>1. Soạn content + video
2. KHÔNG chọn privacy_level
3. PUT /posts/{post} status=scheduled</t>
        </is>
      </c>
      <c r="H17" s="21" t="inlineStr">
        <is>
          <t>HTTP 422 tại platforms.{i}.meta.privacy_level: posts.form.tiktok.privacy_required. Chọn 1 trong PUBLIC_TO_EVERYONE / MUTUAL_FOLLOW_FRIENDS / FOLLOWER_OF_CREATOR / SELF_ONLY thì pass</t>
        </is>
      </c>
      <c r="I17" s="21" t="n"/>
      <c r="J17" s="22" t="inlineStr">
        <is>
          <t>N</t>
        </is>
      </c>
      <c r="K17" s="180" t="n"/>
      <c r="L17" s="181" t="n"/>
      <c r="M17" s="19" t="n"/>
      <c r="N17" s="182" t="n"/>
      <c r="O17" s="183" t="n"/>
      <c r="P17" s="27" t="n"/>
      <c r="Q17" s="2" t="n"/>
      <c r="R17" s="2" t="n"/>
    </row>
    <row r="18" ht="36" customHeight="1">
      <c r="A18" s="16" t="n"/>
      <c r="B18" s="19" t="n">
        <v>6</v>
      </c>
      <c r="C18" s="196" t="inlineStr">
        <is>
          <t>fullmember.kinghub@gmail.com
content.kinghub@gmail.com</t>
        </is>
      </c>
      <c r="D18" s="197" t="inlineStr">
        <is>
          <t>Full Member / Content</t>
        </is>
      </c>
      <c r="E18" s="20" t="inlineStr">
        <is>
          <t>[PC-LIM-006] Pinterest thiếu board_id khi lên lịch</t>
        </is>
      </c>
      <c r="F18" s="20" t="inlineStr">
        <is>
          <t>Đã chọn kênh Pinterest, có ảnh</t>
        </is>
      </c>
      <c r="G18" s="20" t="inlineStr">
        <is>
          <t>1. Soạn content + ảnh
2. KHÔNG chọn board
3. PUT /posts/{post} status=scheduled</t>
        </is>
      </c>
      <c r="H18" s="21" t="inlineStr">
        <is>
          <t>HTTP 422 tại platforms.{i}.meta.board_id: posts.form.pinterest.board_required</t>
        </is>
      </c>
      <c r="I18" s="21" t="n"/>
      <c r="J18" s="22" t="inlineStr">
        <is>
          <t>N</t>
        </is>
      </c>
      <c r="K18" s="180" t="n"/>
      <c r="L18" s="181" t="n"/>
      <c r="M18" s="19" t="n"/>
      <c r="N18" s="182" t="n"/>
      <c r="O18" s="183" t="n"/>
      <c r="P18" s="27" t="n"/>
      <c r="Q18" s="2" t="n"/>
      <c r="R18" s="2" t="n"/>
    </row>
    <row r="19" ht="36" customHeight="1">
      <c r="A19" s="16" t="n"/>
      <c r="B19" s="19" t="n">
        <v>7</v>
      </c>
      <c r="C19" s="196" t="inlineStr">
        <is>
          <t>fullmember.kinghub@gmail.com
content.kinghub@gmail.com</t>
        </is>
      </c>
      <c r="D19" s="197" t="inlineStr">
        <is>
          <t>Full Member / Content</t>
        </is>
      </c>
      <c r="E19" s="20" t="inlineStr">
        <is>
          <t>[PC-LIM-007] Discord thiếu channel_id khi lên lịch</t>
        </is>
      </c>
      <c r="F19" s="20" t="inlineStr">
        <is>
          <t>Đã kết nối Discord (bot đã vào guild)</t>
        </is>
      </c>
      <c r="G19" s="20" t="inlineStr">
        <is>
          <t>1. Soạn content
2. KHÔNG chọn channel (GET discord/accounts/{account}/channels để lấy danh sách nhưng bỏ trống)
3. PUT /posts/{post} status=scheduled</t>
        </is>
      </c>
      <c r="H19" s="21" t="inlineStr">
        <is>
          <t>HTTP 422 tại platforms.{i}.meta.channel_id: posts.form.discord.channel_required</t>
        </is>
      </c>
      <c r="I19" s="21" t="n"/>
      <c r="J19" s="22" t="inlineStr">
        <is>
          <t>N</t>
        </is>
      </c>
      <c r="K19" s="180" t="n"/>
      <c r="L19" s="181" t="n"/>
      <c r="M19" s="19" t="n"/>
      <c r="N19" s="182" t="n"/>
      <c r="O19" s="183" t="n"/>
      <c r="P19" s="27" t="n"/>
      <c r="Q19" s="2" t="n"/>
      <c r="R19" s="2" t="n"/>
    </row>
    <row r="20" ht="36" customHeight="1">
      <c r="A20" s="16" t="n"/>
      <c r="B20" s="19" t="n">
        <v>8</v>
      </c>
      <c r="C20" s="196" t="inlineStr">
        <is>
          <t>fullmember.kinghub@gmail.com
content.kinghub@gmail.com</t>
        </is>
      </c>
      <c r="D20" s="197" t="inlineStr">
        <is>
          <t>Full Member / Content</t>
        </is>
      </c>
      <c r="E20" s="20" t="inlineStr">
        <is>
          <t>[PC-LIM-008] Chọn 2 website WordPress trong 1 bài</t>
        </is>
      </c>
      <c r="F20" s="20" t="inlineStr">
        <is>
          <t>Đã kết nối 2 website WordPress</t>
        </is>
      </c>
      <c r="G20" s="20" t="inlineStr">
        <is>
          <t>1. Soạn bài, chọn cả 2 platform WordPress
2. PUT /posts/{post} status=scheduled</t>
        </is>
      </c>
      <c r="H20" s="21" t="inlineStr">
        <is>
          <t>HTTP 422 trên key platforms: "Mỗi bài viết chỉ được chọn một website WordPress."</t>
        </is>
      </c>
      <c r="I20" s="21" t="n"/>
      <c r="J20" s="22" t="inlineStr">
        <is>
          <t>N</t>
        </is>
      </c>
      <c r="K20" s="180" t="n"/>
      <c r="L20" s="181" t="n"/>
      <c r="M20" s="19" t="n"/>
      <c r="N20" s="182" t="n"/>
      <c r="O20" s="183" t="n"/>
      <c r="P20" s="27" t="n"/>
      <c r="Q20" s="2" t="n"/>
      <c r="R20" s="2" t="n"/>
    </row>
    <row r="21" ht="36" customHeight="1">
      <c r="A21" s="16" t="n"/>
      <c r="B21" s="19" t="n">
        <v>9</v>
      </c>
      <c r="C21" s="196" t="inlineStr">
        <is>
          <t>fullmember.kinghub@gmail.com
content.kinghub@gmail.com</t>
        </is>
      </c>
      <c r="D21" s="197" t="inlineStr">
        <is>
          <t>Full Member / Content</t>
        </is>
      </c>
      <c r="E21" s="20" t="inlineStr">
        <is>
          <t>[PC-LIM-009] X vượt số ảnh tối đa (4)</t>
        </is>
      </c>
      <c r="F21" s="20" t="inlineStr">
        <is>
          <t>Đã chọn kênh X</t>
        </is>
      </c>
      <c r="G21" s="20" t="inlineStr">
        <is>
          <t>1. Tải lên 5 ảnh
2. PUT /posts/{post} status=scheduled</t>
        </is>
      </c>
      <c r="H21" s="21" t="inlineStr">
        <is>
          <t>HTTP 422: vượt maxImages của X (4 ảnh). Thử lại với đúng 4 ảnh → pass</t>
        </is>
      </c>
      <c r="I21" s="21" t="n"/>
      <c r="J21" s="22" t="inlineStr">
        <is>
          <t>N</t>
        </is>
      </c>
      <c r="K21" s="180" t="n"/>
      <c r="L21" s="181" t="n"/>
      <c r="M21" s="19" t="n"/>
      <c r="N21" s="182" t="n"/>
      <c r="O21" s="183" t="n"/>
      <c r="P21" s="27" t="n"/>
      <c r="Q21" s="2" t="n"/>
      <c r="R21" s="2" t="n"/>
    </row>
    <row r="22" ht="36" customHeight="1">
      <c r="A22" s="16" t="n"/>
      <c r="B22" s="19" t="n">
        <v>10</v>
      </c>
      <c r="C22" s="196" t="inlineStr">
        <is>
          <t>fullmember.kinghub@gmail.com
content.kinghub@gmail.com</t>
        </is>
      </c>
      <c r="D22" s="197" t="inlineStr">
        <is>
          <t>Full Member / Content</t>
        </is>
      </c>
      <c r="E22" s="20" t="inlineStr">
        <is>
          <t>[PC-LIM-010] Bluesky/LinkedIn gộp cả ảnh và video trong 1 bài</t>
        </is>
      </c>
      <c r="F22" s="20" t="inlineStr">
        <is>
          <t>Đã chọn kênh Bluesky (hoặc LinkedIn)</t>
        </is>
      </c>
      <c r="G22" s="20" t="inlineStr">
        <is>
          <t>1. Tải 1 ảnh + 1 video vào cùng bài
2. PUT /posts/{post} status=scheduled</t>
        </is>
      </c>
      <c r="H22" s="21" t="inlineStr">
        <is>
          <t>HTTP 422: "Bluesky can't combine an image and a video in the same post." (supportsMixedMedia=false)</t>
        </is>
      </c>
      <c r="I22" s="21" t="n"/>
      <c r="J22" s="22" t="inlineStr">
        <is>
          <t>N</t>
        </is>
      </c>
      <c r="K22" s="180" t="n"/>
      <c r="L22" s="181" t="n"/>
      <c r="M22" s="19" t="n"/>
      <c r="N22" s="182" t="n"/>
      <c r="O22" s="183" t="n"/>
      <c r="P22" s="27" t="n"/>
      <c r="Q22" s="2" t="n"/>
      <c r="R22" s="2" t="n"/>
    </row>
    <row r="23" ht="36" customHeight="1">
      <c r="A23" s="16" t="n"/>
      <c r="B23" s="19" t="n">
        <v>11</v>
      </c>
      <c r="C23" s="196" t="inlineStr">
        <is>
          <t>fullmember.kinghub@gmail.com
content.kinghub@gmail.com</t>
        </is>
      </c>
      <c r="D23" s="197" t="inlineStr">
        <is>
          <t>Full Member / Content</t>
        </is>
      </c>
      <c r="E23" s="20" t="inlineStr">
        <is>
          <t>[PC-LIM-011] LinkedIn đính kèm PDF kèm ảnh</t>
        </is>
      </c>
      <c r="F23" s="20" t="inlineStr">
        <is>
          <t>Đã chọn LinkedIn, content_type Document</t>
        </is>
      </c>
      <c r="G23" s="20" t="inlineStr">
        <is>
          <t>1. Tải 1 file PDF + 1 ảnh
2. PUT /posts/{post} status=scheduled</t>
        </is>
      </c>
      <c r="H23" s="21" t="inlineStr">
        <is>
          <t>HTTP 422: "A PDF document must be the only attachment."</t>
        </is>
      </c>
      <c r="I23" s="21" t="n"/>
      <c r="J23" s="22" t="inlineStr">
        <is>
          <t>N</t>
        </is>
      </c>
      <c r="K23" s="180" t="n"/>
      <c r="L23" s="181" t="n"/>
      <c r="M23" s="19" t="n"/>
      <c r="N23" s="182" t="n"/>
      <c r="O23" s="183" t="n"/>
      <c r="P23" s="27" t="n"/>
      <c r="Q23" s="2" t="n"/>
      <c r="R23" s="2" t="n"/>
    </row>
    <row r="24" ht="36" customHeight="1">
      <c r="A24" s="16" t="n"/>
      <c r="B24" s="19" t="n">
        <v>12</v>
      </c>
      <c r="C24" s="196" t="inlineStr">
        <is>
          <t>fullmember.kinghub@gmail.com
content.kinghub@gmail.com</t>
        </is>
      </c>
      <c r="D24" s="197" t="inlineStr">
        <is>
          <t>Full Member / Content</t>
        </is>
      </c>
      <c r="E24" s="20" t="inlineStr">
        <is>
          <t>[PC-VLD-001] Truyền status không hợp lệ lên PUT update</t>
        </is>
      </c>
      <c r="F24" s="20" t="inlineStr">
        <is>
          <t>Đang soạn 1 bài Draft</t>
        </is>
      </c>
      <c r="G24" s="20" t="inlineStr">
        <is>
          <t>1. PUT /posts/{post} với {status: "published"} (status chỉ cho phép draft|scheduled|publishing)</t>
        </is>
      </c>
      <c r="H24" s="21" t="inlineStr">
        <is>
          <t>HTTP 422 trên status (Rule::in draft/scheduled/publishing)</t>
        </is>
      </c>
      <c r="I24" s="21" t="n"/>
      <c r="J24" s="22" t="inlineStr">
        <is>
          <t>N</t>
        </is>
      </c>
      <c r="K24" s="180" t="n"/>
      <c r="L24" s="181" t="n"/>
      <c r="M24" s="19" t="n"/>
      <c r="N24" s="182" t="n"/>
      <c r="O24" s="183" t="n"/>
      <c r="P24" s="27" t="n"/>
      <c r="Q24" s="2" t="n"/>
      <c r="R24" s="2" t="n"/>
    </row>
    <row r="25" ht="36" customHeight="1">
      <c r="A25" s="16" t="n"/>
      <c r="B25" s="19" t="n">
        <v>13</v>
      </c>
      <c r="C25" s="196" t="inlineStr">
        <is>
          <t>fullmember.kinghub@gmail.com
content.kinghub@gmail.com</t>
        </is>
      </c>
      <c r="D25" s="197" t="inlineStr">
        <is>
          <t>Full Member / Content</t>
        </is>
      </c>
      <c r="E25" s="20" t="inlineStr">
        <is>
          <t>[PC-VLD-002] Lên lịch thời gian trong quá khứ</t>
        </is>
      </c>
      <c r="F25" s="20" t="inlineStr">
        <is>
          <t>Trình soạn bài</t>
        </is>
      </c>
      <c r="G25" s="20" t="inlineStr">
        <is>
          <t>1. PUT /posts/{post} {status: "scheduled", scheduled_at: "&lt;giờ hiện tại trừ 5 phút&gt;"}</t>
        </is>
      </c>
      <c r="H25" s="21" t="inlineStr">
        <is>
          <t>HTTP 422 scheduled_at (rule after:now). Lưu ý: Publish-now (status=publishing) KHÔNG bị ràng buộc này</t>
        </is>
      </c>
      <c r="I25" s="21" t="n"/>
      <c r="J25" s="22" t="inlineStr">
        <is>
          <t>N</t>
        </is>
      </c>
      <c r="K25" s="180" t="n"/>
      <c r="L25" s="181" t="n"/>
      <c r="M25" s="19" t="n"/>
      <c r="N25" s="182" t="n"/>
      <c r="O25" s="183" t="n"/>
      <c r="P25" s="27" t="n"/>
      <c r="Q25" s="2" t="n"/>
      <c r="R25" s="2" t="n"/>
    </row>
    <row r="26" ht="36" customHeight="1">
      <c r="A26" s="16" t="n"/>
      <c r="B26" s="19" t="n">
        <v>14</v>
      </c>
      <c r="C26" s="196" t="inlineStr">
        <is>
          <t>fullmember.kinghub@gmail.com
content.kinghub@gmail.com</t>
        </is>
      </c>
      <c r="D26" s="197" t="inlineStr">
        <is>
          <t>Full Member / Content</t>
        </is>
      </c>
      <c r="E26" s="20" t="inlineStr">
        <is>
          <t>[PC-VLD-003] status=scheduled nhưng thiếu scheduled_at</t>
        </is>
      </c>
      <c r="F26" s="20" t="inlineStr">
        <is>
          <t>Bài Draft chưa có scheduled_at</t>
        </is>
      </c>
      <c r="G26" s="20" t="inlineStr">
        <is>
          <t>1. PUT /posts/{post} {status: "scheduled"} (bỏ trường scheduled_at)</t>
        </is>
      </c>
      <c r="H26" s="21" t="inlineStr">
        <is>
          <t>HTTP 422 scheduled_at required. Nếu bài ĐÃ có scheduled_at trong tương lai thì được phép submit thiếu (reuse)</t>
        </is>
      </c>
      <c r="I26" s="21" t="n"/>
      <c r="J26" s="22" t="inlineStr">
        <is>
          <t>N</t>
        </is>
      </c>
      <c r="K26" s="180" t="n"/>
      <c r="L26" s="181" t="n"/>
      <c r="M26" s="19" t="n"/>
      <c r="N26" s="182" t="n"/>
      <c r="O26" s="183" t="n"/>
      <c r="P26" s="27" t="n"/>
      <c r="Q26" s="2" t="n"/>
      <c r="R26" s="2" t="n"/>
    </row>
    <row r="27" ht="36" customHeight="1">
      <c r="A27" s="16" t="n"/>
      <c r="B27" s="19" t="n">
        <v>15</v>
      </c>
      <c r="C27" s="196" t="inlineStr">
        <is>
          <t>fullmember.kinghub@gmail.com
content.kinghub@gmail.com</t>
        </is>
      </c>
      <c r="D27" s="197" t="inlineStr">
        <is>
          <t>Full Member / Content</t>
        </is>
      </c>
      <c r="E27" s="20" t="inlineStr">
        <is>
          <t>[PC-VLD-004] Sửa bài đã xuất bản / thất bại</t>
        </is>
      </c>
      <c r="F27" s="20" t="inlineStr">
        <is>
          <t>Bài ở trạng thái published / partially_published / failed / publishing</t>
        </is>
      </c>
      <c r="G27" s="20" t="inlineStr">
        <is>
          <t>1. PUT /posts/{post} với bất kỳ thay đổi nào</t>
        </is>
      </c>
      <c r="H27" s="21" t="inlineStr">
        <is>
          <t>HTTP 422 – bị chặn sửa (PostStatusRules::blocksEditing). Bài chỉ đọc, chỉ xem metrics/xóa tùy trạng thái</t>
        </is>
      </c>
      <c r="I27" s="21" t="n"/>
      <c r="J27" s="22" t="inlineStr">
        <is>
          <t>N</t>
        </is>
      </c>
      <c r="K27" s="180" t="n"/>
      <c r="L27" s="181" t="n"/>
      <c r="M27" s="19" t="n"/>
      <c r="N27" s="182" t="n"/>
      <c r="O27" s="183" t="n"/>
      <c r="P27" s="27" t="n"/>
      <c r="Q27" s="2" t="n"/>
      <c r="R27" s="2" t="n"/>
    </row>
    <row r="28" ht="36" customHeight="1">
      <c r="A28" s="16" t="n"/>
      <c r="B28" s="19" t="n">
        <v>16</v>
      </c>
      <c r="C28" s="196" t="inlineStr">
        <is>
          <t>fullmember.kinghub@gmail.com
content.kinghub@gmail.com</t>
        </is>
      </c>
      <c r="D28" s="197" t="inlineStr">
        <is>
          <t>Full Member / Content</t>
        </is>
      </c>
      <c r="E28" s="20" t="inlineStr">
        <is>
          <t>[PC-VLD-005] Xóa bài đang publishing</t>
        </is>
      </c>
      <c r="F28" s="20" t="inlineStr">
        <is>
          <t>Bài đang trạng thái publishing (queue đang chạy)</t>
        </is>
      </c>
      <c r="G28" s="20" t="inlineStr">
        <is>
          <t>1. DELETE /posts/{post}</t>
        </is>
      </c>
      <c r="H28" s="21" t="inlineStr">
        <is>
          <t>Bị từ chối xóa (chỉ cho phép xóa draft/scheduled/failed). Chờ publish xong rồi xóa được</t>
        </is>
      </c>
      <c r="I28" s="21" t="n"/>
      <c r="J28" s="22" t="inlineStr">
        <is>
          <t>N</t>
        </is>
      </c>
      <c r="K28" s="180" t="n"/>
      <c r="L28" s="181" t="n"/>
      <c r="M28" s="19" t="n"/>
      <c r="N28" s="182" t="n"/>
      <c r="O28" s="183" t="n"/>
      <c r="P28" s="27" t="n"/>
      <c r="Q28" s="2" t="n"/>
      <c r="R28" s="2" t="n"/>
    </row>
    <row r="29" ht="36" customHeight="1">
      <c r="A29" s="16" t="n"/>
      <c r="B29" s="19" t="n">
        <v>17</v>
      </c>
      <c r="C29" s="196" t="inlineStr">
        <is>
          <t>fullmember.kinghub@gmail.com
content.kinghub@gmail.com</t>
        </is>
      </c>
      <c r="D29" s="197" t="inlineStr">
        <is>
          <t>Full Member / Content</t>
        </is>
      </c>
      <c r="E29" s="20" t="inlineStr">
        <is>
          <t>[PC-VLD-006] Alt text media quá 2000 ký tự</t>
        </is>
      </c>
      <c r="F29" s="20" t="inlineStr">
        <is>
          <t>Trình soạn bài, đã tải 1 ảnh</t>
        </is>
      </c>
      <c r="G29" s="20" t="inlineStr">
        <is>
          <t>1. Nhập alt_text 2001 ký tự cho ảnh
2. PUT /posts/{post}</t>
        </is>
      </c>
      <c r="H29" s="21" t="inlineStr">
        <is>
          <t>HTTP 422 trên media.*.meta.alt_text (validation.max.string, giới hạn 2000)</t>
        </is>
      </c>
      <c r="I29" s="21" t="n"/>
      <c r="J29" s="22" t="inlineStr">
        <is>
          <t>N</t>
        </is>
      </c>
      <c r="K29" s="180" t="n"/>
      <c r="L29" s="181" t="n"/>
      <c r="M29" s="19" t="n"/>
      <c r="N29" s="182" t="n"/>
      <c r="O29" s="183" t="n"/>
      <c r="P29" s="27" t="n"/>
      <c r="Q29" s="2" t="n"/>
      <c r="R29" s="2" t="n"/>
    </row>
    <row r="30" ht="36" customHeight="1">
      <c r="A30" s="16" t="n"/>
      <c r="B30" s="19" t="n">
        <v>18</v>
      </c>
      <c r="C30" s="196" t="inlineStr">
        <is>
          <t>fullmember.kinghub@gmail.com
content.kinghub@gmail.com</t>
        </is>
      </c>
      <c r="D30" s="197" t="inlineStr">
        <is>
          <t>Full Member / Content</t>
        </is>
      </c>
      <c r="E30" s="20" t="inlineStr">
        <is>
          <t>[PC-VLD-007] topic_tags quá 20 hoặc trùng không phân biệt hoa/thường</t>
        </is>
      </c>
      <c r="F30" s="20" t="inlineStr">
        <is>
          <t>Trình soạn bài</t>
        </is>
      </c>
      <c r="G30" s="20" t="inlineStr">
        <is>
          <t>1. PUT /posts/{post} với 21 topic_tags
2. Thử lại với 2 tag "Sale" và "sale"</t>
        </is>
      </c>
      <c r="H30" s="21" t="inlineStr">
        <is>
          <t>HTTP 422: max 20 tags; "Sale"/"sale" trùng → lỗi distinct:ignore_case. Tag đơn tối đa 100 ký tự</t>
        </is>
      </c>
      <c r="I30" s="21" t="n"/>
      <c r="J30" s="22" t="inlineStr">
        <is>
          <t>N</t>
        </is>
      </c>
      <c r="K30" s="180" t="n"/>
      <c r="L30" s="181" t="n"/>
      <c r="M30" s="19" t="n"/>
      <c r="N30" s="182" t="n"/>
      <c r="O30" s="183" t="n"/>
      <c r="P30" s="27" t="n"/>
      <c r="Q30" s="2" t="n"/>
      <c r="R30" s="2" t="n"/>
    </row>
    <row r="31" ht="36" customHeight="1">
      <c r="A31" s="16" t="n"/>
      <c r="B31" s="19" t="n">
        <v>19</v>
      </c>
      <c r="C31" s="196" t="inlineStr">
        <is>
          <t>fullmember.kinghub@gmail.com
content.kinghub@gmail.com</t>
        </is>
      </c>
      <c r="D31" s="197" t="inlineStr">
        <is>
          <t>Full Member / Content</t>
        </is>
      </c>
      <c r="E31" s="20" t="inlineStr">
        <is>
          <t>[PC-VLD-008] Upload file .webm hoặc ảnh 11MB vào composer</t>
        </is>
      </c>
      <c r="F31" s="20" t="inlineStr">
        <is>
          <t>Trình soạn bài</t>
        </is>
      </c>
      <c r="G31" s="20" t="inlineStr">
        <is>
          <t>1. Tải file video.webm → bị chặn mime
2. Tải ảnh 11MB (max image 10MB) → bị chặn size</t>
        </is>
      </c>
      <c r="H31" s="21" t="inlineStr">
        <is>
          <t>422 "This file type is not supported." (mime chỉ nhận jpeg/png/gif/webp/mp4/mov/pdf) và "File size exceeds the maximum allowed for image (10 MB)." Video tối đa 1024MB, PDF 100MB</t>
        </is>
      </c>
      <c r="I31" s="21" t="n"/>
      <c r="J31" s="22" t="inlineStr">
        <is>
          <t>N</t>
        </is>
      </c>
      <c r="K31" s="180" t="n"/>
      <c r="L31" s="181" t="n"/>
      <c r="M31" s="19" t="n"/>
      <c r="N31" s="182" t="n"/>
      <c r="O31" s="183" t="n"/>
      <c r="P31" s="27" t="n"/>
      <c r="Q31" s="2" t="n"/>
      <c r="R31" s="2" t="n"/>
    </row>
    <row r="32" ht="36" customHeight="1">
      <c r="A32" s="16" t="n"/>
      <c r="B32" s="19" t="n">
        <v>20</v>
      </c>
      <c r="C32" s="196" t="inlineStr">
        <is>
          <t>fullmember.kinghub@gmail.com
content.kinghub@gmail.com</t>
        </is>
      </c>
      <c r="D32" s="197" t="inlineStr">
        <is>
          <t>Full Member / Content</t>
        </is>
      </c>
      <c r="E32" s="20" t="inlineStr">
        <is>
          <t>[PC-THR-001] Rate limit link preview</t>
        </is>
      </c>
      <c r="F32" s="20" t="inlineStr">
        <is>
          <t>Đang soạn bài</t>
        </is>
      </c>
      <c r="G32" s="20" t="inlineStr">
        <is>
          <t>1. Gọi POST /posts/link-preview 31 lần trong 60 giây</t>
        </is>
      </c>
      <c r="H32" s="21" t="inlineStr">
        <is>
          <t>HTTP 429 từ lần thứ 31 (throttle:30,1)</t>
        </is>
      </c>
      <c r="I32" s="21" t="n"/>
      <c r="J32" s="22" t="inlineStr">
        <is>
          <t>N</t>
        </is>
      </c>
      <c r="K32" s="180" t="n"/>
      <c r="L32" s="181" t="n"/>
      <c r="M32" s="19" t="n"/>
      <c r="N32" s="182" t="n"/>
      <c r="O32" s="183" t="n"/>
      <c r="P32" s="27" t="n"/>
      <c r="Q32" s="2" t="n"/>
      <c r="R32" s="2" t="n"/>
    </row>
    <row r="33" ht="36" customHeight="1">
      <c r="A33" s="16" t="n"/>
      <c r="B33" s="19" t="n">
        <v>21</v>
      </c>
      <c r="C33" s="196" t="inlineStr">
        <is>
          <t>fullmember.kinghub@gmail.com
content.kinghub@gmail.com</t>
        </is>
      </c>
      <c r="D33" s="197" t="inlineStr">
        <is>
          <t>Full Member / Content</t>
        </is>
      </c>
      <c r="E33" s="20" t="inlineStr">
        <is>
          <t>[PC-FLOW-001] Publish-now xử lý từng kênh, tổng hợp trạng thái cuối</t>
        </is>
      </c>
      <c r="F33" s="20" t="inlineStr">
        <is>
          <t>Bài đã duyệt, chọn Facebook + X</t>
        </is>
      </c>
      <c r="G33" s="20" t="inlineStr">
        <is>
          <t>1. PUT /posts/{post} {status: "publishing"}
2. Quan sát queue social-facebook / social-x (Horizon)</t>
        </is>
      </c>
      <c r="H33" s="21" t="inlineStr">
        <is>
          <t>Bài chuyển Publishing, scheduled_at=now, dispatch job PublishPost → PublishToSocialPlatform từng kênh. Cả 2 kênh OK → published; 1 kênh lỗi → partially_published; cả 2 lỗi → failed</t>
        </is>
      </c>
      <c r="I33" s="21" t="n"/>
      <c r="J33" s="22" t="inlineStr">
        <is>
          <t>N</t>
        </is>
      </c>
      <c r="K33" s="180" t="n"/>
      <c r="L33" s="181" t="n"/>
      <c r="M33" s="19" t="n"/>
      <c r="N33" s="182" t="n"/>
      <c r="O33" s="183" t="n"/>
      <c r="P33" s="27" t="n"/>
      <c r="Q33" s="2" t="n"/>
      <c r="R33" s="2" t="n"/>
    </row>
    <row r="34" ht="36" customHeight="1">
      <c r="A34" s="16" t="n"/>
      <c r="B34" s="19" t="n">
        <v>22</v>
      </c>
      <c r="C34" s="196" t="inlineStr">
        <is>
          <t>fullmember.kinghub@gmail.com
content.kinghub@gmail.com</t>
        </is>
      </c>
      <c r="D34" s="197" t="inlineStr">
        <is>
          <t>Full Member / Content</t>
        </is>
      </c>
      <c r="E34" s="20" t="inlineStr">
        <is>
          <t>[PC-FLOW-002] Scheduler tự publish bài đến hạn (mỗi phút)</t>
        </is>
      </c>
      <c r="F34" s="20" t="inlineStr">
        <is>
          <t>Bài Scheduled, scheduled_at = giờ hiện tại + 2 phút</t>
        </is>
      </c>
      <c r="G34" s="20" t="inlineStr">
        <is>
          <t>1. Chờ qua thời điểm scheduled_at
2. Theo dõi lệnh posts:process-scheduled (mỗi phút) và Horizon</t>
        </is>
      </c>
      <c r="H34" s="21" t="inlineStr">
        <is>
          <t>Bài được claim nguyên tử Scheduled→Publishing đúng 1 lần (không publish 2 lần), job publish được dispatch</t>
        </is>
      </c>
      <c r="I34" s="21" t="n"/>
      <c r="J34" s="22" t="inlineStr">
        <is>
          <t>N</t>
        </is>
      </c>
      <c r="K34" s="180" t="n"/>
      <c r="L34" s="181" t="n"/>
      <c r="M34" s="19" t="n"/>
      <c r="N34" s="182" t="n"/>
      <c r="O34" s="183" t="n"/>
      <c r="P34" s="27" t="n"/>
      <c r="Q34" s="2" t="n"/>
      <c r="R34" s="2" t="n"/>
    </row>
    <row r="35" ht="36" customHeight="1">
      <c r="A35" s="16" t="n"/>
      <c r="B35" s="19" t="n">
        <v>23</v>
      </c>
      <c r="C35" s="196" t="inlineStr">
        <is>
          <t>fullmember.kinghub@gmail.com
content.kinghub@gmail.com</t>
        </is>
      </c>
      <c r="D35" s="197" t="inlineStr">
        <is>
          <t>Full Member / Content</t>
        </is>
      </c>
      <c r="E35" s="20" t="inlineStr">
        <is>
          <t>[PC-FLOW-003] Nền tảng gián đoạn (rate limit 429/5xx) khi publish</t>
        </is>
      </c>
      <c r="F35" s="20" t="inlineStr">
        <is>
          <t>1 kênh bị Meta BUC rate limit (code 80001/80002)</t>
        </is>
      </c>
      <c r="G35" s="20" t="inlineStr">
        <is>
          <t>1. Đăng bài lên kênh đó
2. Quan sát PostPlatform</t>
        </is>
      </c>
      <c r="H35" s="21" t="inlineStr">
        <is>
          <t>PostPlatform chuyển retrying, tự reschedule tối đa 6 lần / cách 10 phút (PlatformUnavailableException), KHÔNG fail ngay, account không bị đánh dấu disconnect</t>
        </is>
      </c>
      <c r="I35" s="21" t="n"/>
      <c r="J35" s="22" t="inlineStr">
        <is>
          <t>N</t>
        </is>
      </c>
      <c r="K35" s="180" t="n"/>
      <c r="L35" s="181" t="n"/>
      <c r="M35" s="19" t="n"/>
      <c r="N35" s="182" t="n"/>
      <c r="O35" s="183" t="n"/>
      <c r="P35" s="27" t="n"/>
      <c r="Q35" s="2" t="n"/>
      <c r="R35" s="2" t="n"/>
    </row>
    <row r="36" ht="36" customHeight="1">
      <c r="A36" s="16" t="n"/>
      <c r="B36" s="19" t="n">
        <v>24</v>
      </c>
      <c r="C36" s="196" t="inlineStr">
        <is>
          <t>fullmember.kinghub@gmail.com
content.kinghub@gmail.com</t>
        </is>
      </c>
      <c r="D36" s="197" t="inlineStr">
        <is>
          <t>Full Member / Content</t>
        </is>
      </c>
      <c r="E36" s="20" t="inlineStr">
        <is>
          <t>[PC-FLOW-004] Token hết hạn đúng lúc publish</t>
        </is>
      </c>
      <c r="F36" s="20" t="inlineStr">
        <is>
          <t>Kênh LinkedIn/YouTube token hết hạn</t>
        </is>
      </c>
      <c r="G36" s="20" t="inlineStr">
        <is>
          <t>1. Đăng bài lên kênh đó</t>
        </is>
      </c>
      <c r="H36" s="21" t="inlineStr">
        <is>
          <t>Job tự refresh token 1 lần rồi retry; refresh thành công → published bình thường. Vẫn thất bại → PostPlatform=failed, account markAsTokenExpired + email thông báo owner</t>
        </is>
      </c>
      <c r="I36" s="21" t="n"/>
      <c r="J36" s="22" t="inlineStr">
        <is>
          <t>N</t>
        </is>
      </c>
      <c r="K36" s="180" t="n"/>
      <c r="L36" s="181" t="n"/>
      <c r="M36" s="19" t="n"/>
      <c r="N36" s="182" t="n"/>
      <c r="O36" s="183" t="n"/>
      <c r="P36" s="27" t="n"/>
      <c r="Q36" s="2" t="n"/>
      <c r="R36" s="2" t="n"/>
    </row>
    <row r="37" ht="36" customHeight="1">
      <c r="A37" s="16" t="n"/>
      <c r="B37" s="19" t="n">
        <v>25</v>
      </c>
      <c r="C37" s="196" t="inlineStr">
        <is>
          <t>fullmember.kinghub@gmail.com
content.kinghub@gmail.com</t>
        </is>
      </c>
      <c r="D37" s="197" t="inlineStr">
        <is>
          <t>Full Member / Content</t>
        </is>
      </c>
      <c r="E37" s="20" t="inlineStr">
        <is>
          <t>[PC-API-001] REST API tạo bài thiếu platforms</t>
        </is>
      </c>
      <c r="F37" s="20" t="inlineStr">
        <is>
          <t>Có API token workspace</t>
        </is>
      </c>
      <c r="G37" s="20" t="inlineStr">
        <is>
          <t>1. POST /api/posts với body thiếu key platforms (hoặc platforms: [])</t>
        </is>
      </c>
      <c r="H37" s="21" t="inlineStr">
        <is>
          <t>HTTP 422: platforms required, min:1. Với platforms: [] cũng fail</t>
        </is>
      </c>
      <c r="I37" s="21" t="n"/>
      <c r="J37" s="22" t="inlineStr">
        <is>
          <t>N</t>
        </is>
      </c>
      <c r="K37" s="180" t="n"/>
      <c r="L37" s="181" t="n"/>
      <c r="M37" s="19" t="n"/>
      <c r="N37" s="182" t="n"/>
      <c r="O37" s="183" t="n"/>
      <c r="P37" s="27" t="n"/>
      <c r="Q37" s="2" t="n"/>
      <c r="R37" s="2" t="n"/>
    </row>
    <row r="38" ht="36" customHeight="1">
      <c r="A38" s="16" t="n"/>
      <c r="B38" s="19" t="n">
        <v>26</v>
      </c>
      <c r="C38" s="196" t="inlineStr">
        <is>
          <t>fullmember.kinghub@gmail.com
content.kinghub@gmail.com</t>
        </is>
      </c>
      <c r="D38" s="197" t="inlineStr">
        <is>
          <t>Full Member / Content</t>
        </is>
      </c>
      <c r="E38" s="20" t="inlineStr">
        <is>
          <t>[PC-API-002] REST API media url sai định dạng</t>
        </is>
      </c>
      <c r="F38" s="20" t="inlineStr">
        <is>
          <t>Có API token workspace</t>
        </is>
      </c>
      <c r="G38" s="20" t="inlineStr">
        <is>
          <t>1. POST /api/posts với media[0].url = "ftp://example.com/a.jpg"</t>
        </is>
      </c>
      <c r="H38" s="21" t="inlineStr">
        <is>
          <t>HTTP 422: media.0.url phải là url:http,https (không chấp nhận ftp). Hosted UI thì url chỉ cần string max:2048</t>
        </is>
      </c>
      <c r="I38" s="21" t="n"/>
      <c r="J38" s="22" t="inlineStr">
        <is>
          <t>N</t>
        </is>
      </c>
      <c r="K38" s="180" t="n"/>
      <c r="L38" s="181" t="n"/>
      <c r="M38" s="19" t="n"/>
      <c r="N38" s="182" t="n"/>
      <c r="O38" s="183" t="n"/>
      <c r="P38" s="27" t="n"/>
      <c r="Q38" s="2" t="n"/>
      <c r="R38" s="2" t="n"/>
    </row>
    <row r="39" ht="36" customHeight="1">
      <c r="A39" s="16" t="n"/>
      <c r="B39" s="19" t="n">
        <v>27</v>
      </c>
      <c r="C39" s="196" t="inlineStr">
        <is>
          <t>fullmember.kinghub@gmail.com
content.kinghub@gmail.com</t>
        </is>
      </c>
      <c r="D39" s="197" t="inlineStr">
        <is>
          <t>Full Member / Content</t>
        </is>
      </c>
      <c r="E39" s="20" t="inlineStr">
        <is>
          <t>[PC-API-003] REST API chọn social_account_id đã inactive</t>
        </is>
      </c>
      <c r="F39" s="20" t="inlineStr">
        <is>
          <t>Workspace có 1 account đã pause</t>
        </is>
      </c>
      <c r="G39" s="20" t="inlineStr">
        <is>
          <t>1. POST /api/posts với platforms[0].social_account_id = id account đã pause</t>
        </is>
      </c>
      <c r="H39" s="21" t="inlineStr">
        <is>
          <t>HTTP 422: Rule exists với điều kiện is_active=true → không tìm thấy account</t>
        </is>
      </c>
      <c r="I39" s="21" t="n"/>
      <c r="J39" s="22" t="inlineStr">
        <is>
          <t>N</t>
        </is>
      </c>
      <c r="K39" s="180" t="n"/>
      <c r="L39" s="181" t="n"/>
      <c r="M39" s="19" t="n"/>
      <c r="N39" s="182" t="n"/>
      <c r="O39" s="183" t="n"/>
      <c r="P39" s="27" t="n"/>
      <c r="Q39" s="2" t="n"/>
      <c r="R39" s="2" t="n"/>
    </row>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TC-P2-Social-Accounts</t>
        </is>
      </c>
      <c r="F4" s="6" t="inlineStr">
        <is>
          <t>Mã Module: TC-Post-Composer</t>
        </is>
      </c>
      <c r="G4" s="7" t="n"/>
      <c r="H4" s="163" t="n"/>
      <c r="I4" s="2" t="n"/>
      <c r="J4" s="1" t="n"/>
      <c r="K4" s="9" t="inlineStr">
        <is>
          <t>Summary</t>
        </is>
      </c>
      <c r="L4" s="10" t="inlineStr">
        <is>
          <t>Chưa làm (N)</t>
        </is>
      </c>
      <c r="M4" s="11">
        <f>COUNTIF(H13:H28,"N")</f>
        <v/>
      </c>
      <c r="N4" s="11">
        <f>COUNTIF(J13:J28,"N")</f>
        <v/>
      </c>
      <c r="O4" s="1" t="n"/>
      <c r="P4" s="1" t="n"/>
      <c r="Q4" s="1" t="n"/>
      <c r="R4" s="1" t="n"/>
    </row>
    <row r="5" ht="48" customHeight="1">
      <c r="A5" s="4" t="n"/>
      <c r="B5" s="4" t="n"/>
      <c r="E5" s="1" t="inlineStr">
        <is>
          <t>Tên Module: 11. Kết nối MXH – Mở rộng: Telegram code, Token expiry, Disconnect &amp; Rate limit (Phase 2)</t>
        </is>
      </c>
      <c r="F5" s="6" t="inlineStr">
        <is>
          <t>Tên Module: 3. Trình Soạn Thảo &amp; Xuất Bản Bài Viết Đa Kênh (Post Composer)</t>
        </is>
      </c>
      <c r="G5" s="7" t="n"/>
      <c r="H5" s="163" t="n"/>
      <c r="I5" s="2" t="n"/>
      <c r="J5" s="1" t="n"/>
      <c r="K5" s="187" t="n"/>
      <c r="L5" s="10" t="inlineStr">
        <is>
          <t>Đạt (OK)</t>
        </is>
      </c>
      <c r="M5" s="11">
        <f>COUNTIF(H13:H28,"OK")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COUNTIF(H13:H28,"NG")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COUNTIF(H13:H28,"P")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COUNTIF(H13:H28,"X")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wsadmin.kinghub@gmail.com</t>
        </is>
      </c>
      <c r="D13" s="197" t="inlineStr">
        <is>
          <t>Workspace Admin</t>
        </is>
      </c>
      <c r="E13" s="20" t="inlineStr">
        <is>
          <t>[SA-TG-001] Kết nối Telegram trả mã code hợp lệ</t>
        </is>
      </c>
      <c r="F13" s="20" t="inlineStr">
        <is>
          <t>Đã login, có workspace, role từ member trở lên</t>
        </is>
      </c>
      <c r="G13" s="20" t="inlineStr">
        <is>
          <t>1. POST /connect/telegram (không cần body)
2. Quan sát JSON response</t>
        </is>
      </c>
      <c r="H13" s="21" t="inlineStr">
        <is>
          <t>HTTP 200: {code, nonce, bot_username, expires_at}. code hết hạn sau 15 phút. User gõ /connect &lt;code&gt; trong channel → kênh được gắn vào workspace, broadcast TelegramChannelConnected</t>
        </is>
      </c>
      <c r="I13" s="21" t="n"/>
      <c r="J13" s="22" t="inlineStr">
        <is>
          <t>N</t>
        </is>
      </c>
      <c r="K13" s="180" t="n"/>
      <c r="L13" s="181" t="n"/>
      <c r="M13" s="19" t="n"/>
      <c r="N13" s="182" t="n"/>
      <c r="O13" s="183" t="n"/>
      <c r="P13" s="27" t="n"/>
      <c r="Q13" s="2" t="n"/>
      <c r="R13" s="2" t="n"/>
    </row>
    <row r="14" ht="36" customHeight="1">
      <c r="A14" s="16" t="n"/>
      <c r="B14" s="19" t="n">
        <v>2</v>
      </c>
      <c r="C14" s="196" t="inlineStr">
        <is>
          <t>wsadmin.kinghub@gmail.com</t>
        </is>
      </c>
      <c r="D14" s="197" t="inlineStr">
        <is>
          <t>Workspace Admin</t>
        </is>
      </c>
      <c r="E14" s="20" t="inlineStr">
        <is>
          <t>[SA-TG-002] Code Telegram hết hạn 15 phút</t>
        </is>
      </c>
      <c r="F14" s="20" t="inlineStr">
        <is>
          <t>Đã lấy code từ /connect/telegram</t>
        </is>
      </c>
      <c r="G14" s="20" t="inlineStr">
        <is>
          <t>1. Chờ quá 15 phút
2. Gõ /connect &lt;code&gt; trong channel</t>
        </is>
      </c>
      <c r="H14" s="21" t="inlineStr">
        <is>
          <t>Kết nối thất bại (decode trả null), broadcast TelegramConnectFailed. Không tạo SocialAccount</t>
        </is>
      </c>
      <c r="I14" s="21" t="n"/>
      <c r="J14" s="22" t="inlineStr">
        <is>
          <t>N</t>
        </is>
      </c>
      <c r="K14" s="180" t="n"/>
      <c r="L14" s="181" t="n"/>
      <c r="M14" s="19" t="n"/>
      <c r="N14" s="182" t="n"/>
      <c r="O14" s="183" t="n"/>
      <c r="P14" s="27" t="n"/>
      <c r="Q14" s="2" t="n"/>
      <c r="R14" s="2" t="n"/>
    </row>
    <row r="15" ht="36" customHeight="1">
      <c r="A15" s="16" t="n"/>
      <c r="B15" s="19" t="n">
        <v>3</v>
      </c>
      <c r="C15" s="196" t="inlineStr">
        <is>
          <t>wsadmin.kinghub@gmail.com</t>
        </is>
      </c>
      <c r="D15" s="197" t="inlineStr">
        <is>
          <t>Workspace Admin</t>
        </is>
      </c>
      <c r="E15" s="20" t="inlineStr">
        <is>
          <t>[SA-TG-003] Code Telegram dùng lại lần 2 (replay)</t>
        </is>
      </c>
      <c r="F15" s="20" t="inlineStr">
        <is>
          <t>Đã kết nối thành công 1 lần với code X</t>
        </is>
      </c>
      <c r="G15" s="20" t="inlineStr">
        <is>
          <t>1. Gõ lại /connect &lt;code-X&gt; lần nữa trong channel</t>
        </is>
      </c>
      <c r="H15" s="21" t="inlineStr">
        <is>
          <t>Bị từ chối – nonce đã tiêu (Cache single-use), không duplicate account</t>
        </is>
      </c>
      <c r="I15" s="21" t="n"/>
      <c r="J15" s="22" t="inlineStr">
        <is>
          <t>N</t>
        </is>
      </c>
      <c r="K15" s="180" t="n"/>
      <c r="L15" s="181" t="n"/>
      <c r="M15" s="19" t="n"/>
      <c r="N15" s="182" t="n"/>
      <c r="O15" s="183" t="n"/>
      <c r="P15" s="27" t="n"/>
      <c r="Q15" s="2" t="n"/>
      <c r="R15" s="2" t="n"/>
    </row>
    <row r="16" ht="36" customHeight="1">
      <c r="A16" s="16" t="n"/>
      <c r="B16" s="19" t="n">
        <v>4</v>
      </c>
      <c r="C16" s="196" t="inlineStr">
        <is>
          <t>wsadmin.kinghub@gmail.com</t>
        </is>
      </c>
      <c r="D16" s="197" t="inlineStr">
        <is>
          <t>Workspace Admin</t>
        </is>
      </c>
      <c r="E16" s="20" t="inlineStr">
        <is>
          <t>[SA-TG-004] Webhook Telegram sai secret token</t>
        </is>
      </c>
      <c r="F16" s="20" t="inlineStr">
        <is>
          <t>Máy chủ gọi được webhook</t>
        </is>
      </c>
      <c r="G16" s="20" t="inlineStr">
        <is>
          <t>1. POST /telegram/webhook với header X-Telegram-Bot-Api-Secret-Token sai</t>
        </is>
      </c>
      <c r="H16" s="21" t="inlineStr">
        <is>
          <t>HTTP 403 (hash_equals fail). Đúng secret → xử lý lệnh /connect, các event khác trả 204</t>
        </is>
      </c>
      <c r="I16" s="21" t="n"/>
      <c r="J16" s="22" t="inlineStr">
        <is>
          <t>N</t>
        </is>
      </c>
      <c r="K16" s="180" t="n"/>
      <c r="L16" s="181" t="n"/>
      <c r="M16" s="19" t="n"/>
      <c r="N16" s="182" t="n"/>
      <c r="O16" s="183" t="n"/>
      <c r="P16" s="27" t="n"/>
      <c r="Q16" s="2" t="n"/>
      <c r="R16" s="2" t="n"/>
    </row>
    <row r="17" ht="36" customHeight="1">
      <c r="A17" s="16" t="n"/>
      <c r="B17" s="19" t="n">
        <v>5</v>
      </c>
      <c r="C17" s="196" t="inlineStr">
        <is>
          <t>wsadmin.kinghub@gmail.com</t>
        </is>
      </c>
      <c r="D17" s="197" t="inlineStr">
        <is>
          <t>Workspace Admin</t>
        </is>
      </c>
      <c r="E17" s="20" t="inlineStr">
        <is>
          <t>[SA-OA-001] Kết nối trùng mạng xã hội (2 Fanpage FB cùng workspace)</t>
        </is>
      </c>
      <c r="F17" s="20" t="inlineStr">
        <is>
          <t>Workspace đã có 1 account Facebook, không phải self-hosted</t>
        </is>
      </c>
      <c r="G17" s="20" t="inlineStr">
        <is>
          <t>1. Vào /accounts → Connect thêm 1 Fanpage Facebook khác</t>
        </is>
      </c>
      <c r="H17" s="21" t="inlineStr">
        <is>
          <t>Popup lỗi network_taken (1 account/network/workspace). Bật TRYPOST_SELF_HOSTED thì cho phép nhiều</t>
        </is>
      </c>
      <c r="I17" s="21" t="n"/>
      <c r="J17" s="22" t="inlineStr">
        <is>
          <t>N</t>
        </is>
      </c>
      <c r="K17" s="180" t="n"/>
      <c r="L17" s="181" t="n"/>
      <c r="M17" s="19" t="n"/>
      <c r="N17" s="182" t="n"/>
      <c r="O17" s="183" t="n"/>
      <c r="P17" s="27" t="n"/>
      <c r="Q17" s="2" t="n"/>
      <c r="R17" s="2" t="n"/>
    </row>
    <row r="18" ht="36" customHeight="1">
      <c r="A18" s="16" t="n"/>
      <c r="B18" s="19" t="n">
        <v>6</v>
      </c>
      <c r="C18" s="196" t="inlineStr">
        <is>
          <t>wsadmin.kinghub@gmail.com</t>
        </is>
      </c>
      <c r="D18" s="197" t="inlineStr">
        <is>
          <t>Workspace Admin</t>
        </is>
      </c>
      <c r="E18" s="20" t="inlineStr">
        <is>
          <t>[SA-OA-002] Kết nối nền tảng bị tắt cấu hình</t>
        </is>
      </c>
      <c r="F18" s="20" t="inlineStr">
        <is>
          <t>Platform bị disable qua config trypost.platforms.{platform}.enabled</t>
        </is>
      </c>
      <c r="G18" s="20" t="inlineStr">
        <is>
          <t>1. Truy cập route connect của nền tảng đó</t>
        </is>
      </c>
      <c r="H18" s="21" t="inlineStr">
        <is>
          <t>HTTP 403 "This platform is currently unavailable."</t>
        </is>
      </c>
      <c r="I18" s="21" t="n"/>
      <c r="J18" s="22" t="inlineStr">
        <is>
          <t>N</t>
        </is>
      </c>
      <c r="K18" s="180" t="n"/>
      <c r="L18" s="181" t="n"/>
      <c r="M18" s="19" t="n"/>
      <c r="N18" s="182" t="n"/>
      <c r="O18" s="183" t="n"/>
      <c r="P18" s="27" t="n"/>
      <c r="Q18" s="2" t="n"/>
      <c r="R18" s="2" t="n"/>
    </row>
    <row r="19" ht="36" customHeight="1">
      <c r="A19" s="16" t="n"/>
      <c r="B19" s="19" t="n">
        <v>7</v>
      </c>
      <c r="C19" s="196" t="inlineStr">
        <is>
          <t>wsadmin.kinghub@gmail.com</t>
        </is>
      </c>
      <c r="D19" s="197" t="inlineStr">
        <is>
          <t>Workspace Admin</t>
        </is>
      </c>
      <c r="E19" s="20" t="inlineStr">
        <is>
          <t>[SA-VR-001] Token hết hạn: 2 lần verify fail liên tiếp → disconnect</t>
        </is>
      </c>
      <c r="F19" s="20" t="inlineStr">
        <is>
          <t>Account Connected, token đã bị user revoke phía nền tảng</t>
        </is>
      </c>
      <c r="G19" s="20" t="inlineStr">
        <is>
          <t>1. Chờ job CheckSocialConnections chạy daily (VerifyWorkspaceConnections)
2. Xem lại lần 2</t>
        </is>
      </c>
      <c r="H19" s="21" t="inlineStr">
        <is>
          <t>Lần 1 fail: status=token_expired, vẫn giữ account + gửi thông báo owner. Lần 2 fail liên tiếp: status=disconnected + disconnected_at. Verify pass ở giữa → tự phục hồi Connected</t>
        </is>
      </c>
      <c r="I19" s="21" t="n"/>
      <c r="J19" s="22" t="inlineStr">
        <is>
          <t>N</t>
        </is>
      </c>
      <c r="K19" s="180" t="n"/>
      <c r="L19" s="181" t="n"/>
      <c r="M19" s="19" t="n"/>
      <c r="N19" s="182" t="n"/>
      <c r="O19" s="183" t="n"/>
      <c r="P19" s="27" t="n"/>
      <c r="Q19" s="2" t="n"/>
      <c r="R19" s="2" t="n"/>
    </row>
    <row r="20" ht="36" customHeight="1">
      <c r="A20" s="16" t="n"/>
      <c r="B20" s="19" t="n">
        <v>8</v>
      </c>
      <c r="C20" s="196" t="inlineStr">
        <is>
          <t>wsadmin.kinghub@gmail.com</t>
        </is>
      </c>
      <c r="D20" s="197" t="inlineStr">
        <is>
          <t>Workspace Admin</t>
        </is>
      </c>
      <c r="E20" s="20" t="inlineStr">
        <is>
          <t>[SA-VR-002] Meta rate limit codes 4/17/80001/80002 không disconnect</t>
        </is>
      </c>
      <c r="F20" s="20" t="inlineStr">
        <is>
          <t>Account Facebook Page đang bị BUC rate limit</t>
        </is>
      </c>
      <c r="G20" s="20" t="inlineStr">
        <is>
          <t>1. Chờ job verify chạy khi Page đang dính code 80001</t>
        </is>
      </c>
      <c r="H20" s="21" t="inlineStr">
        <is>
          <t>Được xếp loại transient (PlatformUnavailableException) → skip, KHÔNG đánh dấu token_expired. Tương tự body non-JSON, HTTP 429, 5xx</t>
        </is>
      </c>
      <c r="I20" s="21" t="n"/>
      <c r="J20" s="22" t="inlineStr">
        <is>
          <t>N</t>
        </is>
      </c>
      <c r="K20" s="180" t="n"/>
      <c r="L20" s="181" t="n"/>
      <c r="M20" s="19" t="n"/>
      <c r="N20" s="182" t="n"/>
      <c r="O20" s="183" t="n"/>
      <c r="P20" s="27" t="n"/>
      <c r="Q20" s="2" t="n"/>
      <c r="R20" s="2" t="n"/>
    </row>
    <row r="21" ht="36" customHeight="1">
      <c r="A21" s="16" t="n"/>
      <c r="B21" s="19" t="n">
        <v>9</v>
      </c>
      <c r="C21" s="196" t="inlineStr">
        <is>
          <t>wsadmin.kinghub@gmail.com</t>
        </is>
      </c>
      <c r="D21" s="197" t="inlineStr">
        <is>
          <t>Workspace Admin</t>
        </is>
      </c>
      <c r="E21" s="20" t="inlineStr">
        <is>
          <t>[SA-VR-003] Graph error 190/100 (token thật sự chết) → TokenExpired</t>
        </is>
      </c>
      <c r="F21" s="20" t="inlineStr">
        <is>
          <t>Account Threads/Instagram token bị revoke</t>
        </is>
      </c>
      <c r="G21" s="20" t="inlineStr">
        <is>
          <t>1. Chờ job verify</t>
        </is>
      </c>
      <c r="H21" s="21" t="inlineStr">
        <is>
          <t>Mọi 4xx khác ngoài transient codes (1,2,4,17,80001,80002) → TokenExpiredException → markAsTokenExpired + email owner, yêu cầu reconnect</t>
        </is>
      </c>
      <c r="I21" s="21" t="n"/>
      <c r="J21" s="22" t="inlineStr">
        <is>
          <t>N</t>
        </is>
      </c>
      <c r="K21" s="180" t="n"/>
      <c r="L21" s="181" t="n"/>
      <c r="M21" s="19" t="n"/>
      <c r="N21" s="182" t="n"/>
      <c r="O21" s="183" t="n"/>
      <c r="P21" s="27" t="n"/>
      <c r="Q21" s="2" t="n"/>
      <c r="R21" s="2" t="n"/>
    </row>
    <row r="22" ht="36" customHeight="1">
      <c r="A22" s="16" t="n"/>
      <c r="B22" s="19" t="n">
        <v>10</v>
      </c>
      <c r="C22" s="196" t="inlineStr">
        <is>
          <t>wsadmin.kinghub@gmail.com</t>
        </is>
      </c>
      <c r="D22" s="197" t="inlineStr">
        <is>
          <t>Workspace Admin</t>
        </is>
      </c>
      <c r="E22" s="20" t="inlineStr">
        <is>
          <t>[SA-DC-001] Ngắt kết nối account đang có bài scheduled</t>
        </is>
      </c>
      <c r="F22" s="20" t="inlineStr">
        <is>
          <t>Account có 3 PostPlatform: 1 Pending (scheduled), 1 Published, 1 Failed</t>
        </is>
      </c>
      <c r="G22" s="20" t="inlineStr">
        <is>
          <t>1. DELETE /accounts/{account}</t>
        </is>
      </c>
      <c r="H22" s="21" t="inlineStr">
        <is>
          <t>PostPlatform Pending bị XÓA (biến mất khỏi danh sách scheduled). Published/Failed được GIỮ lại (lưu snapshot lịch sử). Account bị hard-delete</t>
        </is>
      </c>
      <c r="I22" s="21" t="n"/>
      <c r="J22" s="22" t="inlineStr">
        <is>
          <t>N</t>
        </is>
      </c>
      <c r="K22" s="180" t="n"/>
      <c r="L22" s="181" t="n"/>
      <c r="M22" s="19" t="n"/>
      <c r="N22" s="182" t="n"/>
      <c r="O22" s="183" t="n"/>
      <c r="P22" s="27" t="n"/>
      <c r="Q22" s="2" t="n"/>
      <c r="R22" s="2" t="n"/>
    </row>
    <row r="23" ht="36" customHeight="1">
      <c r="A23" s="16" t="n"/>
      <c r="B23" s="19" t="n">
        <v>11</v>
      </c>
      <c r="C23" s="196" t="inlineStr">
        <is>
          <t>wsadmin.kinghub@gmail.com</t>
        </is>
      </c>
      <c r="D23" s="197" t="inlineStr">
        <is>
          <t>Workspace Admin</t>
        </is>
      </c>
      <c r="E23" s="20" t="inlineStr">
        <is>
          <t>[SA-DC-002] Batch disconnect validation</t>
        </is>
      </c>
      <c r="F23" s="20" t="inlineStr">
        <is>
          <t>Trang /accounts, nhiều kênh đã kết nối</t>
        </is>
      </c>
      <c r="G23" s="20" t="inlineStr">
        <is>
          <t>1. Gọi DELETE /accounts với body {accounts: []} hoặc thiếu key</t>
        </is>
      </c>
      <c r="H23" s="21" t="inlineStr">
        <is>
          <t>HTTP 422: accounts required, array, min:1. Với danh sách hợp lệ → ngắt từng account theo quyền manage</t>
        </is>
      </c>
      <c r="I23" s="21" t="n"/>
      <c r="J23" s="22" t="inlineStr">
        <is>
          <t>N</t>
        </is>
      </c>
      <c r="K23" s="180" t="n"/>
      <c r="L23" s="181" t="n"/>
      <c r="M23" s="19" t="n"/>
      <c r="N23" s="182" t="n"/>
      <c r="O23" s="183" t="n"/>
      <c r="P23" s="27" t="n"/>
      <c r="Q23" s="2" t="n"/>
      <c r="R23" s="2" t="n"/>
    </row>
    <row r="24" ht="36" customHeight="1">
      <c r="A24" s="16" t="n"/>
      <c r="B24" s="19" t="n">
        <v>12</v>
      </c>
      <c r="C24" s="196" t="inlineStr">
        <is>
          <t>wsadmin.kinghub@gmail.com</t>
        </is>
      </c>
      <c r="D24" s="197" t="inlineStr">
        <is>
          <t>Workspace Admin</t>
        </is>
      </c>
      <c r="E24" s="20" t="inlineStr">
        <is>
          <t>[SA-DC-003] Ngắt kết nối account của workspace khác</t>
        </is>
      </c>
      <c r="F24" s="20" t="inlineStr">
        <is>
          <t>2 workspace A, B; user thuộc A</t>
        </is>
      </c>
      <c r="G24" s="20" t="inlineStr">
        <is>
          <t>1. DELETE /accounts/{id-cua-B}</t>
        </is>
      </c>
      <c r="H24" s="21" t="inlineStr">
        <is>
          <t>HTTP 404 (Policy denyAsNotFound) – không lộ thông tin, không 403</t>
        </is>
      </c>
      <c r="I24" s="21" t="n"/>
      <c r="J24" s="22" t="inlineStr">
        <is>
          <t>N</t>
        </is>
      </c>
      <c r="K24" s="180" t="n"/>
      <c r="L24" s="181" t="n"/>
      <c r="M24" s="19" t="n"/>
      <c r="N24" s="182" t="n"/>
      <c r="O24" s="183" t="n"/>
      <c r="P24" s="27" t="n"/>
      <c r="Q24" s="2" t="n"/>
      <c r="R24" s="2" t="n"/>
    </row>
    <row r="25" ht="36" customHeight="1">
      <c r="A25" s="16" t="n"/>
      <c r="B25" s="19" t="n">
        <v>13</v>
      </c>
      <c r="C25" s="196" t="inlineStr">
        <is>
          <t>wsadmin.kinghub@gmail.com</t>
        </is>
      </c>
      <c r="D25" s="197" t="inlineStr">
        <is>
          <t>Workspace Admin</t>
        </is>
      </c>
      <c r="E25" s="20" t="inlineStr">
        <is>
          <t>[SA-BS-001] Bluesky sai mật khẩu App Password</t>
        </is>
      </c>
      <c r="F25" s="20" t="inlineStr">
        <is>
          <t>Chưa kết nối Bluesky</t>
        </is>
      </c>
      <c r="G25" s="20" t="inlineStr">
        <is>
          <t>1. POST /connect/bluesky {identifier: "abc.bsky.social", password: "sai"}</t>
        </is>
      </c>
      <c r="H25" s="21" t="inlineStr">
        <is>
          <t>HTTP 422 trên key password với message từ AT Proto ("Invalid credentials"). Đúng mật khẩu → tạo account keyed theo did, token hết hạn sau 2 giờ (tự re-auth bằng password lưu trong meta)</t>
        </is>
      </c>
      <c r="I25" s="21" t="n"/>
      <c r="J25" s="22" t="inlineStr">
        <is>
          <t>N</t>
        </is>
      </c>
      <c r="K25" s="180" t="n"/>
      <c r="L25" s="181" t="n"/>
      <c r="M25" s="19" t="n"/>
      <c r="N25" s="182" t="n"/>
      <c r="O25" s="183" t="n"/>
      <c r="P25" s="27" t="n"/>
      <c r="Q25" s="2" t="n"/>
      <c r="R25" s="2" t="n"/>
    </row>
    <row r="26" ht="36" customHeight="1">
      <c r="A26" s="16" t="n"/>
      <c r="B26" s="19" t="n">
        <v>14</v>
      </c>
      <c r="C26" s="196" t="inlineStr">
        <is>
          <t>wsadmin.kinghub@gmail.com</t>
        </is>
      </c>
      <c r="D26" s="197" t="inlineStr">
        <is>
          <t>Workspace Admin</t>
        </is>
      </c>
      <c r="E26" s="20" t="inlineStr">
        <is>
          <t>[SA-MD-001] Mastodon: instance sai + state mismatch</t>
        </is>
      </c>
      <c r="F26" s="20" t="inlineStr">
        <is>
          <t>Chưa kết nối Mastodon</t>
        </is>
      </c>
      <c r="G26" s="20" t="inlineStr">
        <is>
          <t>1. POST /connect/mastodon {instance: "khong-phai-url"} → 422 url
2. Thử callback với query state khác session → popup invalid_state</t>
        </is>
      </c>
      <c r="H26" s="21" t="inlineStr">
        <is>
          <t>1. HTTP 422 instance required|url
2. Callback từ chối do oauth state mismatch, không tạo account</t>
        </is>
      </c>
      <c r="I26" s="21" t="n"/>
      <c r="J26" s="22" t="inlineStr">
        <is>
          <t>N</t>
        </is>
      </c>
      <c r="K26" s="180" t="n"/>
      <c r="L26" s="181" t="n"/>
      <c r="M26" s="19" t="n"/>
      <c r="N26" s="182" t="n"/>
      <c r="O26" s="183" t="n"/>
      <c r="P26" s="27" t="n"/>
      <c r="Q26" s="2" t="n"/>
      <c r="R26" s="2" t="n"/>
    </row>
    <row r="27" ht="36" customHeight="1">
      <c r="A27" s="16" t="n"/>
      <c r="B27" s="19" t="n">
        <v>15</v>
      </c>
      <c r="C27" s="196" t="inlineStr">
        <is>
          <t>wsadmin.kinghub@gmail.com</t>
        </is>
      </c>
      <c r="D27" s="197" t="inlineStr">
        <is>
          <t>Workspace Admin</t>
        </is>
      </c>
      <c r="E27" s="20" t="inlineStr">
        <is>
          <t>[SA-TOG-001] Pause account rồi đăng bài</t>
        </is>
      </c>
      <c r="F27" s="20" t="inlineStr">
        <is>
          <t>Account đã toggle inactive</t>
        </is>
      </c>
      <c r="G27" s="20" t="inlineStr">
        <is>
          <t>1. Đăng 1 bài có kênh đó</t>
        </is>
      </c>
      <c r="H27" s="21" t="inlineStr">
        <is>
          <t>Publish fail với lỗi posts.errors.account_inactive trên PostPlatform, bài tổng hợp failed/partially_published</t>
        </is>
      </c>
      <c r="I27" s="21" t="n"/>
      <c r="J27" s="22" t="inlineStr">
        <is>
          <t>N</t>
        </is>
      </c>
      <c r="K27" s="180" t="n"/>
      <c r="L27" s="181" t="n"/>
      <c r="M27" s="19" t="n"/>
      <c r="N27" s="182" t="n"/>
      <c r="O27" s="183" t="n"/>
      <c r="P27" s="27" t="n"/>
      <c r="Q27" s="2" t="n"/>
      <c r="R27" s="2" t="n"/>
    </row>
    <row r="28" ht="36" customHeight="1">
      <c r="A28" s="16" t="n"/>
      <c r="B28" s="19" t="n">
        <v>16</v>
      </c>
      <c r="C28" s="196" t="inlineStr">
        <is>
          <t>wsadmin.kinghub@gmail.com</t>
        </is>
      </c>
      <c r="D28" s="197" t="inlineStr">
        <is>
          <t>Workspace Admin</t>
        </is>
      </c>
      <c r="E28" s="20" t="inlineStr">
        <is>
          <t>[SA-WRN-001] Cảnh báo bài sắp đăng trên kênh ngắt kết nối</t>
        </is>
      </c>
      <c r="F28" s="20" t="inlineStr">
        <is>
          <t>Bài scheduled trong vòng 1 giờ tới, account vừa disconnected</t>
        </is>
      </c>
      <c r="G28" s="20" t="inlineStr">
        <is>
          <t>1. Chờ job CheckUpcomingPostConnections (mỗi 15 phút)</t>
        </is>
      </c>
      <c r="H28" s="21" t="inlineStr">
        <is>
          <t>Gửi notification PostAtRisk cho người phụ trách, có cooldown 60 phút không spam lại; grace 5 phút cho account vừa mới disconnect</t>
        </is>
      </c>
      <c r="I28" s="21" t="n"/>
      <c r="J28" s="22" t="inlineStr">
        <is>
          <t>N</t>
        </is>
      </c>
      <c r="K28" s="180" t="n"/>
      <c r="L28" s="181" t="n"/>
      <c r="M28" s="19" t="n"/>
      <c r="N28" s="182" t="n"/>
      <c r="O28" s="183" t="n"/>
      <c r="P28" s="27" t="n"/>
      <c r="Q28" s="2" t="n"/>
      <c r="R28" s="2" t="n"/>
    </row>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TC-P2-Workflow-Auth</t>
        </is>
      </c>
      <c r="F4" s="6" t="inlineStr">
        <is>
          <t>Mã Module: TC-Post-Composer</t>
        </is>
      </c>
      <c r="G4" s="7" t="n"/>
      <c r="H4" s="163" t="n"/>
      <c r="I4" s="2" t="n"/>
      <c r="J4" s="1" t="n"/>
      <c r="K4" s="9" t="inlineStr">
        <is>
          <t>Summary</t>
        </is>
      </c>
      <c r="L4" s="10" t="inlineStr">
        <is>
          <t>Chưa làm (N)</t>
        </is>
      </c>
      <c r="M4" s="11">
        <f>COUNTIF(H13:H26,"N")</f>
        <v/>
      </c>
      <c r="N4" s="11">
        <f>COUNTIF(J13:J28,"N")</f>
        <v/>
      </c>
      <c r="O4" s="1" t="n"/>
      <c r="P4" s="1" t="n"/>
      <c r="Q4" s="1" t="n"/>
      <c r="R4" s="1" t="n"/>
    </row>
    <row r="5" ht="48" customHeight="1">
      <c r="A5" s="4" t="n"/>
      <c r="B5" s="4" t="n"/>
      <c r="E5" s="1" t="inlineStr">
        <is>
          <t>Tên Module: 12. Kiểm duyệt &amp; Phân quyền – Mở rộng: Workflow gate, Invite/Join, Auth (Phase 2)</t>
        </is>
      </c>
      <c r="F5" s="6" t="inlineStr">
        <is>
          <t>Tên Module: 3. Trình Soạn Thảo &amp; Xuất Bản Bài Viết Đa Kênh (Post Composer)</t>
        </is>
      </c>
      <c r="G5" s="7" t="n"/>
      <c r="H5" s="163" t="n"/>
      <c r="I5" s="2" t="n"/>
      <c r="J5" s="1" t="n"/>
      <c r="K5" s="187" t="n"/>
      <c r="L5" s="10" t="inlineStr">
        <is>
          <t>Đạt (OK)</t>
        </is>
      </c>
      <c r="M5" s="11">
        <f>COUNTIF(H13:H26,"OK")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COUNTIF(H13:H26,"NG")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COUNTIF(H13:H26,"P")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COUNTIF(H13:H26,"X")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wsadmin.kinghub@gmail.com
guest.kinghub@gmail.com</t>
        </is>
      </c>
      <c r="D13" s="197" t="inlineStr">
        <is>
          <t>WS Admin / Guest</t>
        </is>
      </c>
      <c r="E13" s="20" t="inlineStr">
        <is>
          <t>[WF-SUB-001] Gửi duyệt thiếu thời gian đăng</t>
        </is>
      </c>
      <c r="F13" s="20" t="inlineStr">
        <is>
          <t>Bài Draft thuộc workflow, user có quyền ghi</t>
        </is>
      </c>
      <c r="G13" s="20" t="inlineStr">
        <is>
          <t>1. POST /posts/{post}/workflow/submit (không kèm scheduled_at)</t>
        </is>
      </c>
      <c r="H13" s="21" t="inlineStr">
        <is>
          <t>HTTP 422: "Vui lòng chọn thời gian đăng trước khi gửi duyệt."</t>
        </is>
      </c>
      <c r="I13" s="21" t="n"/>
      <c r="J13" s="22" t="inlineStr">
        <is>
          <t>N</t>
        </is>
      </c>
      <c r="K13" s="180" t="n"/>
      <c r="L13" s="181" t="n"/>
      <c r="M13" s="19" t="n"/>
      <c r="N13" s="182" t="n"/>
      <c r="O13" s="183" t="n"/>
      <c r="P13" s="27" t="n"/>
      <c r="Q13" s="2" t="n"/>
      <c r="R13" s="2" t="n"/>
    </row>
    <row r="14" ht="36" customHeight="1">
      <c r="A14" s="16" t="n"/>
      <c r="B14" s="19" t="n">
        <v>2</v>
      </c>
      <c r="C14" s="196" t="inlineStr">
        <is>
          <t>wsadmin.kinghub@gmail.com
guest.kinghub@gmail.com</t>
        </is>
      </c>
      <c r="D14" s="197" t="inlineStr">
        <is>
          <t>WS Admin / Guest</t>
        </is>
      </c>
      <c r="E14" s="20" t="inlineStr">
        <is>
          <t>[WF-SUB-002] Gửi duyệt với thời gian đăng trong quá khứ</t>
        </is>
      </c>
      <c r="F14" s="20" t="inlineStr">
        <is>
          <t>Bài Draft thuộc workflow</t>
        </is>
      </c>
      <c r="G14" s="20" t="inlineStr">
        <is>
          <t>1. POST /posts/{post}/workflow/submit {scheduled_at: 1 giờ trước}</t>
        </is>
      </c>
      <c r="H14" s="21" t="inlineStr">
        <is>
          <t>HTTP 422: "Thời gian đăng phải ở tương lai." (rule after:now)</t>
        </is>
      </c>
      <c r="I14" s="21" t="n"/>
      <c r="J14" s="22" t="inlineStr">
        <is>
          <t>N</t>
        </is>
      </c>
      <c r="K14" s="180" t="n"/>
      <c r="L14" s="181" t="n"/>
      <c r="M14" s="19" t="n"/>
      <c r="N14" s="182" t="n"/>
      <c r="O14" s="183" t="n"/>
      <c r="P14" s="27" t="n"/>
      <c r="Q14" s="2" t="n"/>
      <c r="R14" s="2" t="n"/>
    </row>
    <row r="15" ht="36" customHeight="1">
      <c r="A15" s="16" t="n"/>
      <c r="B15" s="19" t="n">
        <v>3</v>
      </c>
      <c r="C15" s="196" t="inlineStr">
        <is>
          <t>wsadmin.kinghub@gmail.com
guest.kinghub@gmail.com</t>
        </is>
      </c>
      <c r="D15" s="197" t="inlineStr">
        <is>
          <t>WS Admin / Guest</t>
        </is>
      </c>
      <c r="E15" s="20" t="inlineStr">
        <is>
          <t>[WF-APR-001] Phê duyệt bài không ở trạng thái chờ duyệt</t>
        </is>
      </c>
      <c r="F15" s="20" t="inlineStr">
        <is>
          <t>Bài workflow_status = draft</t>
        </is>
      </c>
      <c r="G15" s="20" t="inlineStr">
        <is>
          <t>1. POST /posts/{post}/workflow/approve</t>
        </is>
      </c>
      <c r="H15" s="21" t="inlineStr">
        <is>
          <t>HTTP 422: "Bài viết chưa ở ở trạng thái chờ duyệt." → phải submit trước</t>
        </is>
      </c>
      <c r="I15" s="21" t="n"/>
      <c r="J15" s="22" t="inlineStr">
        <is>
          <t>N</t>
        </is>
      </c>
      <c r="K15" s="180" t="n"/>
      <c r="L15" s="181" t="n"/>
      <c r="M15" s="19" t="n"/>
      <c r="N15" s="182" t="n"/>
      <c r="O15" s="183" t="n"/>
      <c r="P15" s="27" t="n"/>
      <c r="Q15" s="2" t="n"/>
      <c r="R15" s="2" t="n"/>
    </row>
    <row r="16" ht="36" customHeight="1">
      <c r="A16" s="16" t="n"/>
      <c r="B16" s="19" t="n">
        <v>4</v>
      </c>
      <c r="C16" s="196" t="inlineStr">
        <is>
          <t>wsadmin.kinghub@gmail.com
guest.kinghub@gmail.com</t>
        </is>
      </c>
      <c r="D16" s="197" t="inlineStr">
        <is>
          <t>WS Admin / Guest</t>
        </is>
      </c>
      <c r="E16" s="20" t="inlineStr">
        <is>
          <t>[WF-APR-002] Phê duyệt bài chờ duyệt (Happy path)</t>
        </is>
      </c>
      <c r="F16" s="20" t="inlineStr">
        <is>
          <t>Bài pending_review, user có quyền duyệt</t>
        </is>
      </c>
      <c r="G16" s="20" t="inlineStr">
        <is>
          <t>1. POST /posts/{post}/workflow/approve</t>
        </is>
      </c>
      <c r="H16" s="21" t="inlineStr">
        <is>
          <t>workflow_status=approved, bài tự chuyển status=Scheduled (giữ scheduled_at đã submit), gửi mail PostWorkflowApproved cho author + các thành viên có quyền đăng</t>
        </is>
      </c>
      <c r="I16" s="21" t="n"/>
      <c r="J16" s="22" t="inlineStr">
        <is>
          <t>N</t>
        </is>
      </c>
      <c r="K16" s="180" t="n"/>
      <c r="L16" s="181" t="n"/>
      <c r="M16" s="19" t="n"/>
      <c r="N16" s="182" t="n"/>
      <c r="O16" s="183" t="n"/>
      <c r="P16" s="27" t="n"/>
      <c r="Q16" s="2" t="n"/>
      <c r="R16" s="2" t="n"/>
    </row>
    <row r="17" ht="36" customHeight="1">
      <c r="A17" s="16" t="n"/>
      <c r="B17" s="19" t="n">
        <v>5</v>
      </c>
      <c r="C17" s="196" t="inlineStr">
        <is>
          <t>wsadmin.kinghub@gmail.com
guest.kinghub@gmail.com</t>
        </is>
      </c>
      <c r="D17" s="197" t="inlineStr">
        <is>
          <t>WS Admin / Guest</t>
        </is>
      </c>
      <c r="E17" s="20" t="inlineStr">
        <is>
          <t>[WF-REJ-001] Từ chối duyệt KHÔNG nhập lý do</t>
        </is>
      </c>
      <c r="F17" s="20" t="inlineStr">
        <is>
          <t>Bài pending_review</t>
        </is>
      </c>
      <c r="G17" s="20" t="inlineStr">
        <is>
          <t>1. POST /posts/{post}/workflow/reject (body rỗng)</t>
        </is>
      </c>
      <c r="H17" s="21" t="inlineStr">
        <is>
          <t>Vẫn thành công: workflow_status=rejected, workflow_note = mặc định "Vui lòng chỉnh sửa lại nội dung.", gửi mail PostWorkflowRejected kèm note</t>
        </is>
      </c>
      <c r="I17" s="21" t="n"/>
      <c r="J17" s="22" t="inlineStr">
        <is>
          <t>N</t>
        </is>
      </c>
      <c r="K17" s="180" t="n"/>
      <c r="L17" s="181" t="n"/>
      <c r="M17" s="19" t="n"/>
      <c r="N17" s="182" t="n"/>
      <c r="O17" s="183" t="n"/>
      <c r="P17" s="27" t="n"/>
      <c r="Q17" s="2" t="n"/>
      <c r="R17" s="2" t="n"/>
    </row>
    <row r="18" ht="36" customHeight="1">
      <c r="A18" s="16" t="n"/>
      <c r="B18" s="19" t="n">
        <v>6</v>
      </c>
      <c r="C18" s="196" t="inlineStr">
        <is>
          <t>wsadmin.kinghub@gmail.com
guest.kinghub@gmail.com</t>
        </is>
      </c>
      <c r="D18" s="197" t="inlineStr">
        <is>
          <t>WS Admin / Guest</t>
        </is>
      </c>
      <c r="E18" s="20" t="inlineStr">
        <is>
          <t>[WF-REJ-002] Từ chối duyệt kèm lý do tùy chỉnh</t>
        </is>
      </c>
      <c r="F18" s="20" t="inlineStr">
        <is>
          <t>Bài pending_review</t>
        </is>
      </c>
      <c r="G18" s="20" t="inlineStr">
        <is>
          <t>1. POST /posts/{post}/workflow/reject {note: "Caption chưa đúng tone của thương hiệu"}</t>
        </is>
      </c>
      <c r="H18" s="21" t="inlineStr">
        <is>
          <t>workflow_status=rejected, workflow_note hiển thị đúng lý do cho author xem lại</t>
        </is>
      </c>
      <c r="I18" s="21" t="n"/>
      <c r="J18" s="22" t="inlineStr">
        <is>
          <t>N</t>
        </is>
      </c>
      <c r="K18" s="180" t="n"/>
      <c r="L18" s="181" t="n"/>
      <c r="M18" s="19" t="n"/>
      <c r="N18" s="182" t="n"/>
      <c r="O18" s="183" t="n"/>
      <c r="P18" s="27" t="n"/>
      <c r="Q18" s="2" t="n"/>
      <c r="R18" s="2" t="n"/>
    </row>
    <row r="19" ht="36" customHeight="1">
      <c r="A19" s="16" t="n"/>
      <c r="B19" s="19" t="n">
        <v>7</v>
      </c>
      <c r="C19" s="196" t="inlineStr">
        <is>
          <t>wsadmin.kinghub@gmail.com
guest.kinghub@gmail.com</t>
        </is>
      </c>
      <c r="D19" s="197" t="inlineStr">
        <is>
          <t>WS Admin / Guest</t>
        </is>
      </c>
      <c r="E19" s="20" t="inlineStr">
        <is>
          <t>[WF-PERM-001] Thành viên không quyền duyệt bấm duyệt</t>
        </is>
      </c>
      <c r="F19" s="20" t="inlineStr">
        <is>
          <t>User là member thường trong workflow (không can_review, không manageTeam, account không có can_approve_posts)</t>
        </is>
      </c>
      <c r="G19" s="20" t="inlineStr">
        <is>
          <t>1. POST /posts/{post}/workflow/approve</t>
        </is>
      </c>
      <c r="H19" s="21" t="inlineStr">
        <is>
          <t>HTTP 403: "Bạn chưa được cấp quyền duyệt bài cho bài viết này."</t>
        </is>
      </c>
      <c r="I19" s="21" t="n"/>
      <c r="J19" s="22" t="inlineStr">
        <is>
          <t>N</t>
        </is>
      </c>
      <c r="K19" s="180" t="n"/>
      <c r="L19" s="181" t="n"/>
      <c r="M19" s="19" t="n"/>
      <c r="N19" s="182" t="n"/>
      <c r="O19" s="183" t="n"/>
      <c r="P19" s="27" t="n"/>
      <c r="Q19" s="2" t="n"/>
      <c r="R19" s="2" t="n"/>
    </row>
    <row r="20" ht="36" customHeight="1">
      <c r="A20" s="16" t="n"/>
      <c r="B20" s="19" t="n">
        <v>8</v>
      </c>
      <c r="C20" s="196" t="inlineStr">
        <is>
          <t>wsadmin.kinghub@gmail.com
guest.kinghub@gmail.com</t>
        </is>
      </c>
      <c r="D20" s="197" t="inlineStr">
        <is>
          <t>WS Admin / Guest</t>
        </is>
      </c>
      <c r="E20" s="20" t="inlineStr">
        <is>
          <t>[WF-GATE-001] Đăng bài khi luồng duyệt chưa approved</t>
        </is>
      </c>
      <c r="F20" s="20" t="inlineStr">
        <is>
          <t>Bài thuộc workflow, workflow_status != approved, user thiếu quyền đăng</t>
        </is>
      </c>
      <c r="G20" s="20" t="inlineStr">
        <is>
          <t>1. PUT /posts/{post} {status: "scheduled"}</t>
        </is>
      </c>
      <c r="H20" s="21" t="inlineStr">
        <is>
          <t>HTTP 422 trên status: "Bài viết cần được duyệt trước khi đăng.". User có quyền can_publish/manageTeam thì đăng được</t>
        </is>
      </c>
      <c r="I20" s="21" t="n"/>
      <c r="J20" s="22" t="inlineStr">
        <is>
          <t>N</t>
        </is>
      </c>
      <c r="K20" s="180" t="n"/>
      <c r="L20" s="181" t="n"/>
      <c r="M20" s="19" t="n"/>
      <c r="N20" s="182" t="n"/>
      <c r="O20" s="183" t="n"/>
      <c r="P20" s="27" t="n"/>
      <c r="Q20" s="2" t="n"/>
      <c r="R20" s="2" t="n"/>
    </row>
    <row r="21" ht="36" customHeight="1">
      <c r="A21" s="16" t="n"/>
      <c r="B21" s="19" t="n">
        <v>9</v>
      </c>
      <c r="C21" s="196" t="inlineStr">
        <is>
          <t>wsadmin.kinghub@gmail.com
guest.kinghub@gmail.com</t>
        </is>
      </c>
      <c r="D21" s="197" t="inlineStr">
        <is>
          <t>WS Admin / Guest</t>
        </is>
      </c>
      <c r="E21" s="20" t="inlineStr">
        <is>
          <t>[WF-GATE-002] Quay bài approved về Draft</t>
        </is>
      </c>
      <c r="F21" s="20" t="inlineStr">
        <is>
          <t>Bài workflow_status=approved</t>
        </is>
      </c>
      <c r="G21" s="20" t="inlineStr">
        <is>
          <t>1. PUT /posts/{post} {status: "draft"}</t>
        </is>
      </c>
      <c r="H21" s="21" t="inlineStr">
        <is>
          <t>Bài về Draft, workflow_status reset về draft – phải submit duyệt lại từ đầu</t>
        </is>
      </c>
      <c r="I21" s="21" t="n"/>
      <c r="J21" s="22" t="inlineStr">
        <is>
          <t>N</t>
        </is>
      </c>
      <c r="K21" s="180" t="n"/>
      <c r="L21" s="181" t="n"/>
      <c r="M21" s="19" t="n"/>
      <c r="N21" s="182" t="n"/>
      <c r="O21" s="183" t="n"/>
      <c r="P21" s="27" t="n"/>
      <c r="Q21" s="2" t="n"/>
      <c r="R21" s="2" t="n"/>
    </row>
    <row r="22" ht="36" customHeight="1">
      <c r="A22" s="16" t="n"/>
      <c r="B22" s="19" t="n">
        <v>10</v>
      </c>
      <c r="C22" s="196" t="inlineStr">
        <is>
          <t>wsadmin.kinghub@gmail.com
guest.kinghub@gmail.com</t>
        </is>
      </c>
      <c r="D22" s="197" t="inlineStr">
        <is>
          <t>WS Admin / Guest</t>
        </is>
      </c>
      <c r="E22" s="20" t="inlineStr">
        <is>
          <t>[WF-PERM-002] Viewer thao tác bài viết</t>
        </is>
      </c>
      <c r="F22" s="20" t="inlineStr">
        <is>
          <t>User có role viewer trong workspace</t>
        </is>
      </c>
      <c r="G22" s="20" t="inlineStr">
        <is>
          <t>1. Thử PUT /posts/{post} và DELETE /posts/{post}</t>
        </is>
      </c>
      <c r="H22" s="21" t="inlineStr">
        <is>
          <t>Bị từ chối (PostPolicy cần createPost hoặc vai trò workflow). Bài thuộc workspace khác → 404 (denyAsNotFound)</t>
        </is>
      </c>
      <c r="I22" s="21" t="n"/>
      <c r="J22" s="22" t="inlineStr">
        <is>
          <t>N</t>
        </is>
      </c>
      <c r="K22" s="180" t="n"/>
      <c r="L22" s="181" t="n"/>
      <c r="M22" s="19" t="n"/>
      <c r="N22" s="182" t="n"/>
      <c r="O22" s="183" t="n"/>
      <c r="P22" s="27" t="n"/>
      <c r="Q22" s="2" t="n"/>
      <c r="R22" s="2" t="n"/>
    </row>
    <row r="23" ht="36" customHeight="1">
      <c r="A23" s="16" t="n"/>
      <c r="B23" s="19" t="n">
        <v>11</v>
      </c>
      <c r="C23" s="196" t="inlineStr">
        <is>
          <t>wsadmin.kinghub@gmail.com
guest.kinghub@gmail.com</t>
        </is>
      </c>
      <c r="D23" s="197" t="inlineStr">
        <is>
          <t>WS Admin / Guest</t>
        </is>
      </c>
      <c r="E23" s="20" t="inlineStr">
        <is>
          <t>[WS-INV-001] Mời thành viên: email đã có invite pending / email đã là tài khoản</t>
        </is>
      </c>
      <c r="F23" s="20" t="inlineStr">
        <is>
          <t>Owner/admin workspace</t>
        </is>
      </c>
      <c r="G23" s="20" t="inlineStr">
        <is>
          <t>1. POST /settings/workspace/members/invites {email: "a@b.com", role: "member"} 2 lần
2. Thử email của user đã đăng ký tài khoản</t>
        </is>
      </c>
      <c r="H23" s="21" t="inlineStr">
        <is>
          <t>1. Lần 2 → lỗi invite_exists
2. → lỗi email_belongs_to_account (hệ thống closed account). role chỉ nhận admin|member|viewer</t>
        </is>
      </c>
      <c r="I23" s="21" t="n"/>
      <c r="J23" s="22" t="inlineStr">
        <is>
          <t>N</t>
        </is>
      </c>
      <c r="K23" s="180" t="n"/>
      <c r="L23" s="181" t="n"/>
      <c r="M23" s="19" t="n"/>
      <c r="N23" s="182" t="n"/>
      <c r="O23" s="183" t="n"/>
      <c r="P23" s="27" t="n"/>
      <c r="Q23" s="2" t="n"/>
      <c r="R23" s="2" t="n"/>
    </row>
    <row r="24" ht="36" customHeight="1">
      <c r="A24" s="16" t="n"/>
      <c r="B24" s="19" t="n">
        <v>12</v>
      </c>
      <c r="C24" s="196" t="inlineStr">
        <is>
          <t>wsadmin.kinghub@gmail.com
guest.kinghub@gmail.com</t>
        </is>
      </c>
      <c r="D24" s="197" t="inlineStr">
        <is>
          <t>WS Admin / Guest</t>
        </is>
      </c>
      <c r="E24" s="20" t="inlineStr">
        <is>
          <t>[WS-JOIN-001] Join code: sai mã / đúng mã khác hoa thường</t>
        </is>
      </c>
      <c r="F24" s="20" t="inlineStr">
        <is>
          <t>Có mã mời TNI-ABCD</t>
        </is>
      </c>
      <c r="G24" s="20" t="inlineStr">
        <is>
          <t>1. Truy cập /join?code=tni-XXXX sai
2. Truy cập /join/TNI-XXXX đúng (đổi hoa thường tùy ý)</t>
        </is>
      </c>
      <c r="H24" s="21" t="inlineStr">
        <is>
          <t>1. Redirect về login kèm thông báo mã không hợp lệ
2. Tự gắn user vào workspace với role Member (so khớp code không phân biệt hoa thường), vào thẳng app</t>
        </is>
      </c>
      <c r="I24" s="21" t="n"/>
      <c r="J24" s="22" t="inlineStr">
        <is>
          <t>N</t>
        </is>
      </c>
      <c r="K24" s="180" t="n"/>
      <c r="L24" s="181" t="n"/>
      <c r="M24" s="19" t="n"/>
      <c r="N24" s="182" t="n"/>
      <c r="O24" s="183" t="n"/>
      <c r="P24" s="27" t="n"/>
      <c r="Q24" s="2" t="n"/>
      <c r="R24" s="2" t="n"/>
    </row>
    <row r="25" ht="36" customHeight="1">
      <c r="A25" s="16" t="n"/>
      <c r="B25" s="19" t="n">
        <v>13</v>
      </c>
      <c r="C25" s="196" t="inlineStr">
        <is>
          <t>wsadmin.kinghub@gmail.com
guest.kinghub@gmail.com</t>
        </is>
      </c>
      <c r="D25" s="197" t="inlineStr">
        <is>
          <t>WS Admin / Guest</t>
        </is>
      </c>
      <c r="E25" s="20" t="inlineStr">
        <is>
          <t>[AUTH-001] Khóa tài khoản khi đăng nhập sai 5 lần</t>
        </is>
      </c>
      <c r="F25" s="20" t="inlineStr">
        <is>
          <t>Tài khoản hợp lệ</t>
        </is>
      </c>
      <c r="G25" s="20" t="inlineStr">
        <is>
          <t>1. POST /login sai mật khẩu 5 lần liên tiếp (cùng email + IP)
2. Lần 6 nhập đúng mật khẩu</t>
        </is>
      </c>
      <c r="H25" s="21" t="inlineStr">
        <is>
          <t>Lần 6 bị chặn với thông báo throttle (lockout). Đợi hết thời gian khóa hoặc đổi IP thì đăng nhập được</t>
        </is>
      </c>
      <c r="I25" s="21" t="n"/>
      <c r="J25" s="22" t="inlineStr">
        <is>
          <t>N</t>
        </is>
      </c>
      <c r="K25" s="180" t="n"/>
      <c r="L25" s="181" t="n"/>
      <c r="M25" s="19" t="n"/>
      <c r="N25" s="182" t="n"/>
      <c r="O25" s="183" t="n"/>
      <c r="P25" s="27" t="n"/>
      <c r="Q25" s="2" t="n"/>
      <c r="R25" s="2" t="n"/>
    </row>
    <row r="26" ht="36" customHeight="1">
      <c r="A26" s="16" t="n"/>
      <c r="B26" s="19" t="n">
        <v>14</v>
      </c>
      <c r="C26" s="196" t="inlineStr">
        <is>
          <t>wsadmin.kinghub@gmail.com
guest.kinghub@gmail.com</t>
        </is>
      </c>
      <c r="D26" s="197" t="inlineStr">
        <is>
          <t>WS Admin / Guest</t>
        </is>
      </c>
      <c r="E26" s="20" t="inlineStr">
        <is>
          <t>[AUTH-002] Viewer không được kết nối kênh</t>
        </is>
      </c>
      <c r="F26" s="20" t="inlineStr">
        <is>
          <t>User role viewer</t>
        </is>
      </c>
      <c r="G26" s="20" t="inlineStr">
        <is>
          <t>1. Truy cập /accounts → bấm Connect Facebook</t>
        </is>
      </c>
      <c r="H26" s="21" t="inlineStr">
        <is>
          <t>Bị từ chối quyền connectAccounts (Policy: chỉ owner/admin/member). Viewer cũng không vào được phần quản lý members</t>
        </is>
      </c>
      <c r="I26" s="21" t="n"/>
      <c r="J26" s="22" t="inlineStr">
        <is>
          <t>N</t>
        </is>
      </c>
      <c r="K26" s="180" t="n"/>
      <c r="L26" s="181" t="n"/>
      <c r="M26" s="19" t="n"/>
      <c r="N26" s="182" t="n"/>
      <c r="O26" s="183" t="n"/>
      <c r="P26" s="27" t="n"/>
      <c r="Q26" s="2" t="n"/>
      <c r="R26" s="2" t="n"/>
    </row>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TC-P2-AI-Studio</t>
        </is>
      </c>
      <c r="F4" s="6" t="inlineStr">
        <is>
          <t>Mã Module: TC-Post-Composer</t>
        </is>
      </c>
      <c r="G4" s="7" t="n"/>
      <c r="H4" s="163" t="n"/>
      <c r="I4" s="2" t="n"/>
      <c r="J4" s="1" t="n"/>
      <c r="K4" s="9" t="inlineStr">
        <is>
          <t>Summary</t>
        </is>
      </c>
      <c r="L4" s="10" t="inlineStr">
        <is>
          <t>Chưa làm (N)</t>
        </is>
      </c>
      <c r="M4" s="11">
        <f>COUNTIF(H13:H21,"N")</f>
        <v/>
      </c>
      <c r="N4" s="11">
        <f>COUNTIF(J13:J28,"N")</f>
        <v/>
      </c>
      <c r="O4" s="1" t="n"/>
      <c r="P4" s="1" t="n"/>
      <c r="Q4" s="1" t="n"/>
      <c r="R4" s="1" t="n"/>
    </row>
    <row r="5" ht="48" customHeight="1">
      <c r="A5" s="4" t="n"/>
      <c r="B5" s="4" t="n"/>
      <c r="E5" s="1" t="inlineStr">
        <is>
          <t>Tên Module: 13. AI Studio – Mở rộng: Validation, Quota 402, Streaming Reverb (Phase 2)</t>
        </is>
      </c>
      <c r="F5" s="6" t="inlineStr">
        <is>
          <t>Tên Module: 3. Trình Soạn Thảo &amp; Xuất Bản Bài Viết Đa Kênh (Post Composer)</t>
        </is>
      </c>
      <c r="G5" s="7" t="n"/>
      <c r="H5" s="163" t="n"/>
      <c r="I5" s="2" t="n"/>
      <c r="J5" s="1" t="n"/>
      <c r="K5" s="187" t="n"/>
      <c r="L5" s="10" t="inlineStr">
        <is>
          <t>Đạt (OK)</t>
        </is>
      </c>
      <c r="M5" s="11">
        <f>COUNTIF(H13:H21,"OK")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COUNTIF(H13:H21,"NG")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COUNTIF(H13:H21,"P")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COUNTIF(H13:H21,"X")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fullmember.kinghub@gmail.com</t>
        </is>
      </c>
      <c r="D13" s="197" t="inlineStr">
        <is>
          <t>Full Member</t>
        </is>
      </c>
      <c r="E13" s="20" t="inlineStr">
        <is>
          <t>[AI-GEN-001] Prompt rỗng hoặc quá 2000 ký tự</t>
        </is>
      </c>
      <c r="F13" s="20" t="inlineStr">
        <is>
          <t>Bài Draft</t>
        </is>
      </c>
      <c r="G13" s="20" t="inlineStr">
        <is>
          <t>1. POST /posts/{post}/ai/generate {prompt: ""}
2. Thử prompt 2001 ký tự</t>
        </is>
      </c>
      <c r="H13" s="21" t="inlineStr">
        <is>
          <t>HTTP 422: prompt required / max 2000 (AiPromptRules.PROMPT_MAX_LENGTH)</t>
        </is>
      </c>
      <c r="I13" s="21" t="n"/>
      <c r="J13" s="22" t="inlineStr">
        <is>
          <t>N</t>
        </is>
      </c>
      <c r="K13" s="180" t="n"/>
      <c r="L13" s="181" t="n"/>
      <c r="M13" s="19" t="n"/>
      <c r="N13" s="182" t="n"/>
      <c r="O13" s="183" t="n"/>
      <c r="P13" s="27" t="n"/>
      <c r="Q13" s="2" t="n"/>
      <c r="R13" s="2" t="n"/>
    </row>
    <row r="14" ht="36" customHeight="1">
      <c r="A14" s="16" t="n"/>
      <c r="B14" s="19" t="n">
        <v>2</v>
      </c>
      <c r="C14" s="196" t="inlineStr">
        <is>
          <t>fullmember.kinghub@gmail.com</t>
        </is>
      </c>
      <c r="D14" s="197" t="inlineStr">
        <is>
          <t>Full Member</t>
        </is>
      </c>
      <c r="E14" s="20" t="inlineStr">
        <is>
          <t>[AI-GEN-003] Sinh nội dung async + streaming đúng kênh</t>
        </is>
      </c>
      <c r="F14" s="20" t="inlineStr">
        <is>
          <t>Bài Draft, queue ai đang chạy</t>
        </is>
      </c>
      <c r="G14" s="20" t="inlineStr">
        <is>
          <t>1. POST /posts/{post}/ai/generate {prompt, generation_id: &lt;uuid&gt;}
2. Lắng nghe Reverb channel user.{userId}.ai-gen.{generationId}</t>
        </is>
      </c>
      <c r="H14" s="21" t="inlineStr">
        <is>
          <t>HTTP 202 {generation_id, channel}. Nội dung stream về đúng channel private, hoàn tất thì cập nhật vào bài. job chạy trên queue "ai" (xem Horizon)</t>
        </is>
      </c>
      <c r="I14" s="21" t="n"/>
      <c r="J14" s="22" t="inlineStr">
        <is>
          <t>N</t>
        </is>
      </c>
      <c r="K14" s="180" t="n"/>
      <c r="L14" s="181" t="n"/>
      <c r="M14" s="19" t="n"/>
      <c r="N14" s="182" t="n"/>
      <c r="O14" s="183" t="n"/>
      <c r="P14" s="27" t="n"/>
      <c r="Q14" s="2" t="n"/>
      <c r="R14" s="2" t="n"/>
    </row>
    <row r="15" ht="36" customHeight="1">
      <c r="A15" s="16" t="n"/>
      <c r="B15" s="19" t="n">
        <v>3</v>
      </c>
      <c r="C15" s="196" t="inlineStr">
        <is>
          <t>fullmember.kinghub@gmail.com</t>
        </is>
      </c>
      <c r="D15" s="197" t="inlineStr">
        <is>
          <t>Full Member</t>
        </is>
      </c>
      <c r="E15" s="20" t="inlineStr">
        <is>
          <t>[AI-CAP-001] Tối ưu caption theo từng nền tảng</t>
        </is>
      </c>
      <c r="F15" s="20" t="inlineStr">
        <is>
          <t>Bài có content + 3 kênh Facebook/X/YouTube</t>
        </is>
      </c>
      <c r="G15" s="20" t="inlineStr">
        <is>
          <t>1. POST /posts/{post}/ai/platform-captions {platforms: ["facebook","x","youtube"]}</t>
        </is>
      </c>
      <c r="H15" s="21" t="inlineStr">
        <is>
          <t>HTTP 200 {captions: {...}, captions_by_id: {...}} — đồng bộ (không queue). Caption YouTube &lt; 100 ký tự có #Shorts; TikTok &lt; 300 ký tự + 8 hashtag</t>
        </is>
      </c>
      <c r="I15" s="21" t="n"/>
      <c r="J15" s="22" t="inlineStr">
        <is>
          <t>N</t>
        </is>
      </c>
      <c r="K15" s="180" t="n"/>
      <c r="L15" s="181" t="n"/>
      <c r="M15" s="19" t="n"/>
      <c r="N15" s="182" t="n"/>
      <c r="O15" s="183" t="n"/>
      <c r="P15" s="27" t="n"/>
      <c r="Q15" s="2" t="n"/>
      <c r="R15" s="2" t="n"/>
    </row>
    <row r="16" ht="36" customHeight="1">
      <c r="A16" s="16" t="n"/>
      <c r="B16" s="19" t="n">
        <v>4</v>
      </c>
      <c r="C16" s="196" t="inlineStr">
        <is>
          <t>fullmember.kinghub@gmail.com</t>
        </is>
      </c>
      <c r="D16" s="197" t="inlineStr">
        <is>
          <t>Full Member</t>
        </is>
      </c>
      <c r="E16" s="20" t="inlineStr">
        <is>
          <t>[AI-REV-001] AI Review nội dung quá 10000 ký tự</t>
        </is>
      </c>
      <c r="F16" s="20" t="inlineStr">
        <is>
          <t>Bài Draft</t>
        </is>
      </c>
      <c r="G16" s="20" t="inlineStr">
        <is>
          <t>1. POST /posts/{post}/ai/review {content: 10001 ký tự}</t>
        </is>
      </c>
      <c r="H16" s="21" t="inlineStr">
        <is>
          <t>HTTP 422: content max 10000. Hợp lệ → 200 {suggestions: [...]}</t>
        </is>
      </c>
      <c r="I16" s="21" t="n"/>
      <c r="J16" s="22" t="inlineStr">
        <is>
          <t>N</t>
        </is>
      </c>
      <c r="K16" s="180" t="n"/>
      <c r="L16" s="181" t="n"/>
      <c r="M16" s="19" t="n"/>
      <c r="N16" s="182" t="n"/>
      <c r="O16" s="183" t="n"/>
      <c r="P16" s="27" t="n"/>
      <c r="Q16" s="2" t="n"/>
      <c r="R16" s="2" t="n"/>
    </row>
    <row r="17" ht="36" customHeight="1">
      <c r="A17" s="16" t="n"/>
      <c r="B17" s="19" t="n">
        <v>5</v>
      </c>
      <c r="C17" s="196" t="inlineStr">
        <is>
          <t>fullmember.kinghub@gmail.com</t>
        </is>
      </c>
      <c r="D17" s="197" t="inlineStr">
        <is>
          <t>Full Member</t>
        </is>
      </c>
      <c r="E17" s="20" t="inlineStr">
        <is>
          <t>[AI-IMG-001] Tái tạo ảnh không phải ảnh AI</t>
        </is>
      </c>
      <c r="F17" s="20" t="inlineStr">
        <is>
          <t>Bài có ảnh upload thủ công (source != ai)</t>
        </is>
      </c>
      <c r="G17" s="20" t="inlineStr">
        <is>
          <t>1. POST /posts/{post}/media/{mediaId}/ai/regenerate {instruction: "làm bầu trời tối hơn", regeneration_id}</t>
        </is>
      </c>
      <c r="H17" s="21" t="inlineStr">
        <is>
          <t>HTTP 422: chỉ cho tái tạo media có source = ai. Ảnh thường → phải dùng tính năng tạo ảnh mới</t>
        </is>
      </c>
      <c r="I17" s="21" t="n"/>
      <c r="J17" s="22" t="inlineStr">
        <is>
          <t>N</t>
        </is>
      </c>
      <c r="K17" s="180" t="n"/>
      <c r="L17" s="181" t="n"/>
      <c r="M17" s="19" t="n"/>
      <c r="N17" s="182" t="n"/>
      <c r="O17" s="183" t="n"/>
      <c r="P17" s="27" t="n"/>
      <c r="Q17" s="2" t="n"/>
      <c r="R17" s="2" t="n"/>
    </row>
    <row r="18" ht="36" customHeight="1">
      <c r="A18" s="16" t="n"/>
      <c r="B18" s="19" t="n">
        <v>6</v>
      </c>
      <c r="C18" s="196" t="inlineStr">
        <is>
          <t>fullmember.kinghub@gmail.com</t>
        </is>
      </c>
      <c r="D18" s="197" t="inlineStr">
        <is>
          <t>Full Member</t>
        </is>
      </c>
      <c r="E18" s="20" t="inlineStr">
        <is>
          <t>[AI-IMG-002] Tái tạo ảnh trên bài đã xuất bản</t>
        </is>
      </c>
      <c r="F18" s="20" t="inlineStr">
        <is>
          <t>Bài published, có ảnh AI</t>
        </is>
      </c>
      <c r="G18" s="20" t="inlineStr">
        <is>
          <t>1. POST /posts/{post}/media/{mediaId}/ai/regenerate</t>
        </is>
      </c>
      <c r="H18" s="21" t="inlineStr">
        <is>
          <t>HTTP 422 (PostStatusRules::blocksEditing). instruction tối đa 1000 ký tự</t>
        </is>
      </c>
      <c r="I18" s="21" t="n"/>
      <c r="J18" s="22" t="inlineStr">
        <is>
          <t>N</t>
        </is>
      </c>
      <c r="K18" s="180" t="n"/>
      <c r="L18" s="181" t="n"/>
      <c r="M18" s="19" t="n"/>
      <c r="N18" s="182" t="n"/>
      <c r="O18" s="183" t="n"/>
      <c r="P18" s="27" t="n"/>
      <c r="Q18" s="2" t="n"/>
      <c r="R18" s="2" t="n"/>
    </row>
    <row r="19" ht="36" customHeight="1">
      <c r="A19" s="16" t="n"/>
      <c r="B19" s="19" t="n">
        <v>7</v>
      </c>
      <c r="C19" s="196" t="inlineStr">
        <is>
          <t>fullmember.kinghub@gmail.com</t>
        </is>
      </c>
      <c r="D19" s="197" t="inlineStr">
        <is>
          <t>Full Member</t>
        </is>
      </c>
      <c r="E19" s="20" t="inlineStr">
        <is>
          <t>[AI-WZ-001] Wizard tạo bài AI: format không hợp lệ</t>
        </is>
      </c>
      <c r="F19" s="20" t="inlineStr">
        <is>
          <t>Hợp lệ</t>
        </is>
      </c>
      <c r="G19" s="20" t="inlineStr">
        <is>
          <t>1. POST /posts/ai/create {creation_id: &lt;uuid&gt;, format: "khong_hop_le", prompt: "viết về cà phê"}</t>
        </is>
      </c>
      <c r="H19" s="21" t="inlineStr">
        <is>
          <t>HTTP 422: format phải thuộc ContentType::aiSupported() + instagram_carousel. Hợp lệ → 202 {creation_id, channel}, stream về user.{id}.ai-creation.{uuid}</t>
        </is>
      </c>
      <c r="I19" s="21" t="n"/>
      <c r="J19" s="22" t="inlineStr">
        <is>
          <t>N</t>
        </is>
      </c>
      <c r="K19" s="180" t="n"/>
      <c r="L19" s="181" t="n"/>
      <c r="M19" s="19" t="n"/>
      <c r="N19" s="182" t="n"/>
      <c r="O19" s="183" t="n"/>
      <c r="P19" s="27" t="n"/>
      <c r="Q19" s="2" t="n"/>
      <c r="R19" s="2" t="n"/>
    </row>
    <row r="20" ht="36" customHeight="1">
      <c r="A20" s="16" t="n"/>
      <c r="B20" s="19" t="n">
        <v>8</v>
      </c>
      <c r="C20" s="196" t="inlineStr">
        <is>
          <t>fullmember.kinghub@gmail.com</t>
        </is>
      </c>
      <c r="D20" s="197" t="inlineStr">
        <is>
          <t>Full Member</t>
        </is>
      </c>
      <c r="E20" s="20" t="inlineStr">
        <is>
          <t>[AI-WZ-002] Wizard template tweet_card thiếu tài khoản</t>
        </is>
      </c>
      <c r="F20" s="20" t="inlineStr">
        <is>
          <t>Chọn template = tweet_card</t>
        </is>
      </c>
      <c r="G20" s="20" t="inlineStr">
        <is>
          <t>1. POST /posts/ai/create bỏ trống social_account_id</t>
        </is>
      </c>
      <c r="H20" s="21" t="inlineStr">
        <is>
          <t>HTTP 422 trên social_account_id (template needsAccount). Cần thêm: prompt min 3 ký tự, image_count 0-10</t>
        </is>
      </c>
      <c r="I20" s="21" t="n"/>
      <c r="J20" s="22" t="inlineStr">
        <is>
          <t>N</t>
        </is>
      </c>
      <c r="K20" s="180" t="n"/>
      <c r="L20" s="181" t="n"/>
      <c r="M20" s="19" t="n"/>
      <c r="N20" s="182" t="n"/>
      <c r="O20" s="183" t="n"/>
      <c r="P20" s="27" t="n"/>
      <c r="Q20" s="2" t="n"/>
      <c r="R20" s="2" t="n"/>
    </row>
    <row r="21" ht="90" customHeight="1"/>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TC-P2-Calendar-Media</t>
        </is>
      </c>
      <c r="F4" s="6" t="inlineStr">
        <is>
          <t>Mã Module: TC-Post-Composer</t>
        </is>
      </c>
      <c r="G4" s="7" t="n"/>
      <c r="H4" s="163" t="n"/>
      <c r="I4" s="2" t="n"/>
      <c r="J4" s="1" t="n"/>
      <c r="K4" s="9" t="inlineStr">
        <is>
          <t>Summary</t>
        </is>
      </c>
      <c r="L4" s="10" t="inlineStr">
        <is>
          <t>Chưa làm (N)</t>
        </is>
      </c>
      <c r="M4" s="11">
        <f>COUNTIF(H13:H24,"N")</f>
        <v/>
      </c>
      <c r="N4" s="11">
        <f>COUNTIF(J13:J28,"N")</f>
        <v/>
      </c>
      <c r="O4" s="1" t="n"/>
      <c r="P4" s="1" t="n"/>
      <c r="Q4" s="1" t="n"/>
      <c r="R4" s="1" t="n"/>
    </row>
    <row r="5" ht="48" customHeight="1">
      <c r="A5" s="4" t="n"/>
      <c r="B5" s="4" t="n"/>
      <c r="E5" s="1" t="inlineStr">
        <is>
          <t>Tên Module: 14. Lịch &amp; Media – Mở rộng: Drag-drop API, Upload validation, Tag rules (Phase 2)</t>
        </is>
      </c>
      <c r="F5" s="6" t="inlineStr">
        <is>
          <t>Tên Module: 3. Trình Soạn Thảo &amp; Xuất Bản Bài Viết Đa Kênh (Post Composer)</t>
        </is>
      </c>
      <c r="G5" s="7" t="n"/>
      <c r="H5" s="163" t="n"/>
      <c r="I5" s="2" t="n"/>
      <c r="J5" s="1" t="n"/>
      <c r="K5" s="187" t="n"/>
      <c r="L5" s="10" t="inlineStr">
        <is>
          <t>Đạt (OK)</t>
        </is>
      </c>
      <c r="M5" s="11">
        <f>COUNTIF(H13:H24,"OK")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COUNTIF(H13:H24,"NG")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COUNTIF(H13:H24,"P")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COUNTIF(H13:H24,"X")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fullmember.kinghub@gmail.com
content.kinghub@gmail.com</t>
        </is>
      </c>
      <c r="D13" s="197" t="inlineStr">
        <is>
          <t>Full Member / Content</t>
        </is>
      </c>
      <c r="E13" s="20" t="inlineStr">
        <is>
          <t>[CAL-DD-001] Kéo thả dời lịch bài (Happy path)</t>
        </is>
      </c>
      <c r="F13" s="20" t="inlineStr">
        <is>
          <t>Lịch tuần có 1 bài Scheduled</t>
        </is>
      </c>
      <c r="G13" s="20" t="inlineStr">
        <is>
          <t>1. Kéo bài sang ngày khác, thả
2. Xem request: PATCH /posts/{post}/reschedule {scheduled_at: "&lt;ngày giờ mới&gt;"}</t>
        </is>
      </c>
      <c r="H13" s="21" t="inlineStr">
        <is>
          <t>HTTP 200 {success: true, message: "Đã chuyển lịch đăng bài thành công.", post: {...}}. Bài xuất hiện đúng ô mới trên calendar, giờ lưu dạng UTC</t>
        </is>
      </c>
      <c r="I13" s="21" t="n"/>
      <c r="J13" s="22" t="inlineStr">
        <is>
          <t>N</t>
        </is>
      </c>
      <c r="K13" s="180" t="n"/>
      <c r="L13" s="181" t="n"/>
      <c r="M13" s="19" t="n"/>
      <c r="N13" s="182" t="n"/>
      <c r="O13" s="183" t="n"/>
      <c r="P13" s="27" t="n"/>
      <c r="Q13" s="2" t="n"/>
      <c r="R13" s="2" t="n"/>
    </row>
    <row r="14" ht="36" customHeight="1">
      <c r="A14" s="16" t="n"/>
      <c r="B14" s="19" t="n">
        <v>2</v>
      </c>
      <c r="C14" s="196" t="inlineStr">
        <is>
          <t>fullmember.kinghub@gmail.com
content.kinghub@gmail.com</t>
        </is>
      </c>
      <c r="D14" s="197" t="inlineStr">
        <is>
          <t>Full Member / Content</t>
        </is>
      </c>
      <c r="E14" s="20" t="inlineStr">
        <is>
          <t>[CAL-DD-002] Kéo thả bài đã xuất bản</t>
        </is>
      </c>
      <c r="F14" s="20" t="inlineStr">
        <is>
          <t>Lịch có bài published</t>
        </is>
      </c>
      <c r="G14" s="20" t="inlineStr">
        <is>
          <t>1. Thử kéo bài published sang ngày khác</t>
        </is>
      </c>
      <c r="H14" s="21" t="inlineStr">
        <is>
          <t>HTTP 422 {error: "Không thể đổi lịch bài viết đã xuất bản."} – UI trả bài về vị trí cũ</t>
        </is>
      </c>
      <c r="I14" s="21" t="n"/>
      <c r="J14" s="22" t="inlineStr">
        <is>
          <t>N</t>
        </is>
      </c>
      <c r="K14" s="180" t="n"/>
      <c r="L14" s="181" t="n"/>
      <c r="M14" s="19" t="n"/>
      <c r="N14" s="182" t="n"/>
      <c r="O14" s="183" t="n"/>
      <c r="P14" s="27" t="n"/>
      <c r="Q14" s="2" t="n"/>
      <c r="R14" s="2" t="n"/>
    </row>
    <row r="15" ht="36" customHeight="1">
      <c r="A15" s="16" t="n"/>
      <c r="B15" s="19" t="n">
        <v>3</v>
      </c>
      <c r="C15" s="196" t="inlineStr">
        <is>
          <t>fullmember.kinghub@gmail.com
content.kinghub@gmail.com</t>
        </is>
      </c>
      <c r="D15" s="197" t="inlineStr">
        <is>
          <t>Full Member / Content</t>
        </is>
      </c>
      <c r="E15" s="20" t="inlineStr">
        <is>
          <t>[CAL-DD-003] Reschedule thiếu scheduled_at</t>
        </is>
      </c>
      <c r="F15" s="20" t="inlineStr">
        <is>
          <t>Bài Scheduled</t>
        </is>
      </c>
      <c r="G15" s="20" t="inlineStr">
        <is>
          <t>1. PATCH /posts/{post}/reschedule với body rỗng</t>
        </is>
      </c>
      <c r="H15" s="21" t="inlineStr">
        <is>
          <t>HTTP 422: scheduled_at required, date</t>
        </is>
      </c>
      <c r="I15" s="21" t="n"/>
      <c r="J15" s="22" t="inlineStr">
        <is>
          <t>N</t>
        </is>
      </c>
      <c r="K15" s="180" t="n"/>
      <c r="L15" s="181" t="n"/>
      <c r="M15" s="19" t="n"/>
      <c r="N15" s="182" t="n"/>
      <c r="O15" s="183" t="n"/>
      <c r="P15" s="27" t="n"/>
      <c r="Q15" s="2" t="n"/>
      <c r="R15" s="2" t="n"/>
    </row>
    <row r="16" ht="36" customHeight="1">
      <c r="A16" s="16" t="n"/>
      <c r="B16" s="19" t="n">
        <v>4</v>
      </c>
      <c r="C16" s="196" t="inlineStr">
        <is>
          <t>fullmember.kinghub@gmail.com
content.kinghub@gmail.com</t>
        </is>
      </c>
      <c r="D16" s="197" t="inlineStr">
        <is>
          <t>Full Member / Content</t>
        </is>
      </c>
      <c r="E16" s="20" t="inlineStr">
        <is>
          <t>[CAL-VIEW-001] Chuyển view Ngày/Tuần/Tháng + thống kê</t>
        </is>
      </c>
      <c r="F16" s="20" t="inlineStr">
        <is>
          <t>Có bài ở nhiều trạng thái</t>
        </is>
      </c>
      <c r="G16" s="20" t="inlineStr">
        <is>
          <t>1. GET /calendar?view=month / view=week / view=day
2. Xem khối stats trên UI</t>
        </is>
      </c>
      <c r="H16" s="21" t="inlineStr">
        <is>
          <t>3 view hiển thị đúng bài theo scheduled_at (UTC, tuần mở rộng đầu-cuối tuần). Stats đếm đúng: total, pending_review, scheduled, published, failed. URL ?view=abc hoặc ngày sai → lỗi 500 Carbon (ghi nhận bug UX)</t>
        </is>
      </c>
      <c r="I16" s="21" t="n"/>
      <c r="J16" s="22" t="inlineStr">
        <is>
          <t>N</t>
        </is>
      </c>
      <c r="K16" s="180" t="n"/>
      <c r="L16" s="181" t="n"/>
      <c r="M16" s="19" t="n"/>
      <c r="N16" s="182" t="n"/>
      <c r="O16" s="183" t="n"/>
      <c r="P16" s="27" t="n"/>
      <c r="Q16" s="2" t="n"/>
      <c r="R16" s="2" t="n"/>
    </row>
    <row r="17" ht="36" customHeight="1">
      <c r="A17" s="16" t="n"/>
      <c r="B17" s="19" t="n">
        <v>5</v>
      </c>
      <c r="C17" s="196" t="inlineStr">
        <is>
          <t>fullmember.kinghub@gmail.com
content.kinghub@gmail.com</t>
        </is>
      </c>
      <c r="D17" s="197" t="inlineStr">
        <is>
          <t>Full Member / Content</t>
        </is>
      </c>
      <c r="E17" s="20" t="inlineStr">
        <is>
          <t>[CAL-FIL-001] Lọc danh sách bài theo kênh / trạng thái / tag</t>
        </is>
      </c>
      <c r="F17" s="20" t="inlineStr">
        <is>
          <t>Có bài đa dạng</t>
        </is>
      </c>
      <c r="G17" s="20" t="inlineStr">
        <is>
          <t>1. GET /posts?scheduled&amp;platform=facebook&amp;workflow_status=pending_review&amp;topic_tag=Tet2026&amp;search=khuyenmai</t>
        </is>
      </c>
      <c r="H17" s="21" t="inlineStr">
        <is>
          <t>Kết quả lọc chính xác theo từng filter kết hợp; topic_tag tối đa 100 ký tự; status URL chỉ nhận draft|scheduled|published</t>
        </is>
      </c>
      <c r="I17" s="21" t="n"/>
      <c r="J17" s="22" t="inlineStr">
        <is>
          <t>N</t>
        </is>
      </c>
      <c r="K17" s="180" t="n"/>
      <c r="L17" s="181" t="n"/>
      <c r="M17" s="19" t="n"/>
      <c r="N17" s="182" t="n"/>
      <c r="O17" s="183" t="n"/>
      <c r="P17" s="27" t="n"/>
      <c r="Q17" s="2" t="n"/>
      <c r="R17" s="2" t="n"/>
    </row>
    <row r="18" ht="36" customHeight="1">
      <c r="A18" s="16" t="n"/>
      <c r="B18" s="19" t="n">
        <v>6</v>
      </c>
      <c r="C18" s="196" t="inlineStr">
        <is>
          <t>fullmember.kinghub@gmail.com
content.kinghub@gmail.com</t>
        </is>
      </c>
      <c r="D18" s="197" t="inlineStr">
        <is>
          <t>Full Member / Content</t>
        </is>
      </c>
      <c r="E18" s="20" t="inlineStr">
        <is>
          <t>[MED-UPL-001] Upload asset sai định dạng / vượt size</t>
        </is>
      </c>
      <c r="F18" s="20" t="inlineStr">
        <is>
          <t>Vào Media Library</t>
        </is>
      </c>
      <c r="G18" s="20" t="inlineStr">
        <is>
          <t>1. POST /assets với file .webm (hoặc .avi)
2. Thử ảnh 11MB</t>
        </is>
      </c>
      <c r="H18" s="21" t="inlineStr">
        <is>
          <t>HTTP 422: mime chỉ nhận jpeg/png/gif/webp/mp4/mov/pdf; ảnh tối đa 10MB, video 1024MB, PDF 100MB (thông báo lỗi kèm loại file + MB)</t>
        </is>
      </c>
      <c r="I18" s="21" t="n"/>
      <c r="J18" s="22" t="inlineStr">
        <is>
          <t>N</t>
        </is>
      </c>
      <c r="K18" s="180" t="n"/>
      <c r="L18" s="181" t="n"/>
      <c r="M18" s="19" t="n"/>
      <c r="N18" s="182" t="n"/>
      <c r="O18" s="183" t="n"/>
      <c r="P18" s="27" t="n"/>
      <c r="Q18" s="2" t="n"/>
      <c r="R18" s="2" t="n"/>
    </row>
    <row r="19" ht="36" customHeight="1">
      <c r="A19" s="16" t="n"/>
      <c r="B19" s="19" t="n">
        <v>7</v>
      </c>
      <c r="C19" s="196" t="inlineStr">
        <is>
          <t>fullmember.kinghub@gmail.com
content.kinghub@gmail.com</t>
        </is>
      </c>
      <c r="D19" s="197" t="inlineStr">
        <is>
          <t>Full Member / Content</t>
        </is>
      </c>
      <c r="E19" s="20" t="inlineStr">
        <is>
          <t>[MED-UPL-002] Chunked upload file quá dung lượng / sai extension</t>
        </is>
      </c>
      <c r="F19" s="20" t="inlineStr">
        <is>
          <t>Media Library</t>
        </is>
      </c>
      <c r="G19" s="20" t="inlineStr">
        <is>
          <t>1. POST /assets/chunked với header total_size vượt video-max, X-File-Name="a.txt"</t>
        </is>
      </c>
      <c r="H19" s="21" t="inlineStr">
        <is>
          <t>HTTP 422: lỗi assets.upload.file_too_large; tên file phải kết thúc .jpg/.jpeg/.png/.gif/.webp/.mp4/.mov/.pdf</t>
        </is>
      </c>
      <c r="I19" s="21" t="n"/>
      <c r="J19" s="22" t="inlineStr">
        <is>
          <t>N</t>
        </is>
      </c>
      <c r="K19" s="180" t="n"/>
      <c r="L19" s="181" t="n"/>
      <c r="M19" s="19" t="n"/>
      <c r="N19" s="182" t="n"/>
      <c r="O19" s="183" t="n"/>
      <c r="P19" s="27" t="n"/>
      <c r="Q19" s="2" t="n"/>
      <c r="R19" s="2" t="n"/>
    </row>
    <row r="20" ht="36" customHeight="1">
      <c r="A20" s="16" t="n"/>
      <c r="B20" s="19" t="n">
        <v>8</v>
      </c>
      <c r="C20" s="196" t="inlineStr">
        <is>
          <t>fullmember.kinghub@gmail.com
content.kinghub@gmail.com</t>
        </is>
      </c>
      <c r="D20" s="197" t="inlineStr">
        <is>
          <t>Full Member / Content</t>
        </is>
      </c>
      <c r="E20" s="20" t="inlineStr">
        <is>
          <t>[MED-TAG-001] Gắn tag chưa tồn tại / quá 20 tag / trùng hoa thường</t>
        </is>
      </c>
      <c r="F20" s="20" t="inlineStr">
        <is>
          <t>Media Library có 1 ảnh</t>
        </is>
      </c>
      <c r="G20" s="20" t="inlineStr">
        <is>
          <t>1. PUT /assets/{media}/tags {tags: ["tag-chua-tao"]}
2. Thử 21 tag; thử "Sale" + "sale"</t>
        </is>
      </c>
      <c r="H20" s="21" t="inlineStr">
        <is>
          <t>HTTP 422: tag phải tồn tại sẵn trong workspace (không tự tạo tại đây); max 20; trùng ignore_case bị chặn; mỗi tag tối đa 50 ký tự</t>
        </is>
      </c>
      <c r="I20" s="21" t="n"/>
      <c r="J20" s="22" t="inlineStr">
        <is>
          <t>N</t>
        </is>
      </c>
      <c r="K20" s="180" t="n"/>
      <c r="L20" s="181" t="n"/>
      <c r="M20" s="19" t="n"/>
      <c r="N20" s="182" t="n"/>
      <c r="O20" s="183" t="n"/>
      <c r="P20" s="27" t="n"/>
      <c r="Q20" s="2" t="n"/>
      <c r="R20" s="2" t="n"/>
    </row>
    <row r="21" ht="36" customHeight="1">
      <c r="A21" s="16" t="n"/>
      <c r="B21" s="19" t="n">
        <v>9</v>
      </c>
      <c r="C21" s="196" t="inlineStr">
        <is>
          <t>fullmember.kinghub@gmail.com
content.kinghub@gmail.com</t>
        </is>
      </c>
      <c r="D21" s="197" t="inlineStr">
        <is>
          <t>Full Member / Content</t>
        </is>
      </c>
      <c r="E21" s="20" t="inlineStr">
        <is>
          <t>[MED-URL-001] Tải ảnh từ URL ngoài Unsplash/Giphy</t>
        </is>
      </c>
      <c r="F21" s="20" t="inlineStr">
        <is>
          <t>Media Library</t>
        </is>
      </c>
      <c r="G21" s="20" t="inlineStr">
        <is>
          <t>1. POST /assets/from-url {url: "https://example.com/a.jpg", filename: "a.jpg"}</t>
        </is>
      </c>
      <c r="H21" s="21" t="inlineStr">
        <is>
          <t>HTTP 422: url chỉ nhận https://images.unsplash.com/* hoặc media*.giphy.com/*. URL hợp lệ nhưng download fail → 400 "Failed to download image from URL"</t>
        </is>
      </c>
      <c r="I21" s="21" t="n"/>
      <c r="J21" s="22" t="inlineStr">
        <is>
          <t>N</t>
        </is>
      </c>
      <c r="K21" s="180" t="n"/>
      <c r="L21" s="181" t="n"/>
      <c r="M21" s="19" t="n"/>
      <c r="N21" s="182" t="n"/>
      <c r="O21" s="183" t="n"/>
      <c r="P21" s="27" t="n"/>
      <c r="Q21" s="2" t="n"/>
      <c r="R21" s="2" t="n"/>
    </row>
    <row r="22" ht="36" customHeight="1">
      <c r="A22" s="16" t="n"/>
      <c r="B22" s="19" t="n">
        <v>10</v>
      </c>
      <c r="C22" s="196" t="inlineStr">
        <is>
          <t>fullmember.kinghub@gmail.com
content.kinghub@gmail.com</t>
        </is>
      </c>
      <c r="D22" s="197" t="inlineStr">
        <is>
          <t>Full Member / Content</t>
        </is>
      </c>
      <c r="E22" s="20" t="inlineStr">
        <is>
          <t>[MED-DEL-001] Xóa media đang được bài scheduled sử dụng</t>
        </is>
      </c>
      <c r="F22" s="20" t="inlineStr">
        <is>
          <t>1 ảnh được dùng bởi bài Scheduled</t>
        </is>
      </c>
      <c r="G22" s="20" t="inlineStr">
        <is>
          <t>1. DELETE /assets/{media}</t>
        </is>
      </c>
      <c r="H22" s="21" t="inlineStr">
        <is>
          <t>HIỆN TẠI: xóa THÀNH CÔNG (không có check tham chiếu post_media) → ảnh biến mất khỏi composer/preview của bài. Ghi nhận đánh giá rủi ro: bài đăng có thể thiếu ảnh</t>
        </is>
      </c>
      <c r="I22" s="21" t="n"/>
      <c r="J22" s="22" t="inlineStr">
        <is>
          <t>N</t>
        </is>
      </c>
      <c r="K22" s="180" t="n"/>
      <c r="L22" s="181" t="n"/>
      <c r="M22" s="19" t="n"/>
      <c r="N22" s="182" t="n"/>
      <c r="O22" s="183" t="n"/>
      <c r="P22" s="27" t="n"/>
      <c r="Q22" s="2" t="n"/>
      <c r="R22" s="2" t="n"/>
    </row>
    <row r="23" ht="36" customHeight="1">
      <c r="A23" s="16" t="n"/>
      <c r="B23" s="19" t="n">
        <v>11</v>
      </c>
      <c r="C23" s="196" t="inlineStr">
        <is>
          <t>fullmember.kinghub@gmail.com
content.kinghub@gmail.com</t>
        </is>
      </c>
      <c r="D23" s="197" t="inlineStr">
        <is>
          <t>Full Member / Content</t>
        </is>
      </c>
      <c r="E23" s="20" t="inlineStr">
        <is>
          <t>[MED-META-001] Asset meta sai giá trị</t>
        </is>
      </c>
      <c r="F23" s="20" t="inlineStr">
        <is>
          <t>Media Library</t>
        </is>
      </c>
      <c r="G23" s="20" t="inlineStr">
        <is>
          <t>1. POST /assets với meta {width: 0, duration: -1}</t>
        </is>
      </c>
      <c r="H23" s="21" t="inlineStr">
        <is>
          <t>HTTP 422: width/height integer min 1, duration numeric min 0</t>
        </is>
      </c>
      <c r="I23" s="21" t="n"/>
      <c r="J23" s="22" t="inlineStr">
        <is>
          <t>N</t>
        </is>
      </c>
      <c r="K23" s="180" t="n"/>
      <c r="L23" s="181" t="n"/>
      <c r="M23" s="19" t="n"/>
      <c r="N23" s="182" t="n"/>
      <c r="O23" s="183" t="n"/>
      <c r="P23" s="27" t="n"/>
      <c r="Q23" s="2" t="n"/>
      <c r="R23" s="2" t="n"/>
    </row>
    <row r="24" ht="36" customHeight="1">
      <c r="A24" s="16" t="n"/>
      <c r="B24" s="19" t="n">
        <v>12</v>
      </c>
      <c r="C24" s="196" t="inlineStr">
        <is>
          <t>fullmember.kinghub@gmail.com
content.kinghub@gmail.com</t>
        </is>
      </c>
      <c r="D24" s="197" t="inlineStr">
        <is>
          <t>Full Member / Content</t>
        </is>
      </c>
      <c r="E24" s="20" t="inlineStr">
        <is>
          <t>[MED-SEC-001] Thao tác asset cross-workspace</t>
        </is>
      </c>
      <c r="F24" s="20" t="inlineStr">
        <is>
          <t>2 workspace</t>
        </is>
      </c>
      <c r="G24" s="20" t="inlineStr">
        <is>
          <t>1. DELETE/PUT asset của workspace B từ workspace A</t>
        </is>
      </c>
      <c r="H24" s="21" t="inlineStr">
        <is>
          <t>HTTP 403 (thuộc workspace khác). Folder do người khác tạo nhưng thiếu quyền DeleteMedia cũng 403</t>
        </is>
      </c>
      <c r="I24" s="21" t="n"/>
      <c r="J24" s="22" t="inlineStr">
        <is>
          <t>N</t>
        </is>
      </c>
      <c r="K24" s="180" t="n"/>
      <c r="L24" s="181" t="n"/>
      <c r="M24" s="19" t="n"/>
      <c r="N24" s="182" t="n"/>
      <c r="O24" s="183" t="n"/>
      <c r="P24" s="27" t="n"/>
      <c r="Q24" s="2" t="n"/>
      <c r="R24" s="2" t="n"/>
    </row>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ColWidth="9" defaultRowHeight="14.4"/>
  <cols>
    <col width="5.28571428571429" customWidth="1" min="1" max="1"/>
    <col width="16" customWidth="1" min="2" max="2"/>
    <col width="32" customWidth="1" min="3" max="3"/>
    <col width="32" customWidth="1" min="4" max="4"/>
    <col width="50" customWidth="1" min="5" max="5"/>
    <col width="36" customWidth="1" min="7" max="7"/>
    <col width="11" customWidth="1" min="8" max="8"/>
    <col width="13" customWidth="1" min="10" max="10"/>
    <col width="11" customWidth="1" min="11" max="11"/>
    <col width="13" customWidth="1" min="13" max="13"/>
    <col width="15" customWidth="1" min="14" max="14"/>
    <col width="30" customWidth="1" min="15" max="15"/>
    <col width="6.28571428571429" customWidth="1" min="16" max="16"/>
    <col width="12.7142857142857" customWidth="1" min="17" max="17"/>
  </cols>
  <sheetData>
    <row r="1" ht="16" customHeight="1">
      <c r="A1" s="1" t="n"/>
      <c r="B1" s="1" t="n"/>
      <c r="E1" s="1" t="n"/>
      <c r="F1" s="1" t="n"/>
      <c r="G1" s="1" t="n"/>
      <c r="H1" s="1" t="n"/>
      <c r="I1" s="2" t="n"/>
      <c r="J1" s="1" t="n"/>
      <c r="K1" s="1" t="n"/>
      <c r="L1" s="1" t="n"/>
      <c r="M1" s="1" t="n"/>
      <c r="N1" s="1" t="n"/>
      <c r="O1" s="1" t="n"/>
      <c r="P1" s="1" t="n"/>
      <c r="Q1" s="1" t="n"/>
      <c r="R1" s="1" t="n"/>
    </row>
    <row r="2" ht="76" customHeight="1">
      <c r="A2" s="1" t="n"/>
      <c r="B2" s="1" t="n"/>
      <c r="E2" s="1" t="n"/>
      <c r="F2" s="3" t="inlineStr">
        <is>
          <t>TÀI LIỆU KIỂM THỬ TÍCH HỢP (TEST CASES)</t>
        </is>
      </c>
      <c r="G2" s="1" t="n"/>
      <c r="H2" s="1" t="n"/>
      <c r="I2" s="2" t="n"/>
      <c r="J2" s="1" t="n"/>
      <c r="K2" s="1" t="n"/>
      <c r="L2" s="1" t="n"/>
      <c r="M2" s="1" t="n"/>
      <c r="N2" s="1" t="n"/>
      <c r="O2" s="1" t="n"/>
      <c r="P2" s="1" t="n"/>
      <c r="Q2" s="1" t="n"/>
      <c r="R2" s="1" t="n"/>
    </row>
    <row r="3" ht="16" customHeight="1">
      <c r="A3" s="4" t="n"/>
      <c r="B3" s="4" t="n"/>
      <c r="E3" s="1" t="n"/>
      <c r="F3" s="1" t="n"/>
      <c r="G3" s="1" t="n"/>
      <c r="H3" s="1" t="n"/>
      <c r="I3" s="2" t="n"/>
      <c r="J3" s="1" t="n"/>
      <c r="K3" s="4" t="n"/>
      <c r="L3" s="1" t="n"/>
      <c r="M3" s="5" t="inlineStr">
        <is>
          <t>Vòng 1</t>
        </is>
      </c>
      <c r="N3" s="5" t="inlineStr">
        <is>
          <t>Vòng 2</t>
        </is>
      </c>
      <c r="O3" s="1" t="n"/>
      <c r="P3" s="1" t="n"/>
      <c r="Q3" s="4" t="n"/>
      <c r="R3" s="1" t="n"/>
    </row>
    <row r="4" ht="32" customHeight="1">
      <c r="A4" s="4" t="n"/>
      <c r="B4" s="4" t="n"/>
      <c r="E4" s="1" t="inlineStr">
        <is>
          <t>Mã Module: TC-P2-Omnichat-Analytics</t>
        </is>
      </c>
      <c r="F4" s="6" t="inlineStr">
        <is>
          <t>Mã Module: TC-Post-Composer</t>
        </is>
      </c>
      <c r="G4" s="7" t="n"/>
      <c r="H4" s="163" t="n"/>
      <c r="I4" s="2" t="n"/>
      <c r="J4" s="1" t="n"/>
      <c r="K4" s="9" t="inlineStr">
        <is>
          <t>Summary</t>
        </is>
      </c>
      <c r="L4" s="10" t="inlineStr">
        <is>
          <t>Chưa làm (N)</t>
        </is>
      </c>
      <c r="M4" s="11">
        <f>COUNTIF(H13:H25,"N")</f>
        <v/>
      </c>
      <c r="N4" s="11">
        <f>COUNTIF(J13:J28,"N")</f>
        <v/>
      </c>
      <c r="O4" s="1" t="n"/>
      <c r="P4" s="1" t="n"/>
      <c r="Q4" s="1" t="n"/>
      <c r="R4" s="1" t="n"/>
    </row>
    <row r="5" ht="48" customHeight="1">
      <c r="A5" s="4" t="n"/>
      <c r="B5" s="4" t="n"/>
      <c r="E5" s="1" t="inlineStr">
        <is>
          <t>Tên Module: 15. Omnichat &amp; Báo cáo – Mở rộng: Throttle, Dedupe, CRM validation, CSV export (Phase 2)</t>
        </is>
      </c>
      <c r="F5" s="6" t="inlineStr">
        <is>
          <t>Tên Module: 3. Trình Soạn Thảo &amp; Xuất Bản Bài Viết Đa Kênh (Post Composer)</t>
        </is>
      </c>
      <c r="G5" s="7" t="n"/>
      <c r="H5" s="163" t="n"/>
      <c r="I5" s="2" t="n"/>
      <c r="J5" s="1" t="n"/>
      <c r="K5" s="187" t="n"/>
      <c r="L5" s="10" t="inlineStr">
        <is>
          <t>Đạt (OK)</t>
        </is>
      </c>
      <c r="M5" s="11">
        <f>COUNTIF(H13:H25,"OK")</f>
        <v/>
      </c>
      <c r="N5" s="11">
        <f>COUNTIF(J13:J28,"OK")</f>
        <v/>
      </c>
      <c r="O5" s="1" t="n"/>
      <c r="P5" s="1" t="n"/>
      <c r="Q5" s="1" t="n"/>
      <c r="R5" s="1" t="n"/>
    </row>
    <row r="6" ht="16" customHeight="1">
      <c r="A6" s="4" t="n"/>
      <c r="B6" s="4" t="n"/>
      <c r="E6" s="1" t="inlineStr">
        <is>
          <t>Người tạo</t>
        </is>
      </c>
      <c r="F6" s="6" t="inlineStr">
        <is>
          <t>Người tạo</t>
        </is>
      </c>
      <c r="G6" s="7" t="inlineStr">
        <is>
          <t>QA Tester</t>
        </is>
      </c>
      <c r="H6" s="163" t="n"/>
      <c r="I6" s="2" t="n"/>
      <c r="J6" s="1" t="n"/>
      <c r="K6" s="187" t="n"/>
      <c r="L6" s="10" t="inlineStr">
        <is>
          <t>Lỗi (NG)</t>
        </is>
      </c>
      <c r="M6" s="11">
        <f>COUNTIF(H13:H25,"NG")</f>
        <v/>
      </c>
      <c r="N6" s="11">
        <f>COUNTIF(J13:J28,"NG")</f>
        <v/>
      </c>
      <c r="O6" s="1" t="n"/>
      <c r="P6" s="1" t="n"/>
      <c r="Q6" s="1" t="n"/>
      <c r="R6" s="1" t="n"/>
    </row>
    <row r="7" ht="32" customHeight="1">
      <c r="A7" s="4" t="n"/>
      <c r="B7" s="4" t="n"/>
      <c r="E7" s="1" t="inlineStr">
        <is>
          <t>Ngày tạo</t>
        </is>
      </c>
      <c r="F7" s="6" t="inlineStr">
        <is>
          <t>17/09/2026</t>
        </is>
      </c>
      <c r="G7" s="179" t="n">
        <v>46279.55053262731</v>
      </c>
      <c r="H7" s="163" t="n"/>
      <c r="I7" s="2" t="n"/>
      <c r="J7" s="1" t="n"/>
      <c r="K7" s="187" t="n"/>
      <c r="L7" s="10" t="inlineStr">
        <is>
          <t>Tạm hoãn (P)</t>
        </is>
      </c>
      <c r="M7" s="11">
        <f>COUNTIF(H13:H25,"P")</f>
        <v/>
      </c>
      <c r="N7" s="11">
        <f>COUNTIF(J13:J28,"P")</f>
        <v/>
      </c>
      <c r="O7" s="1" t="n"/>
      <c r="P7" s="1" t="n"/>
      <c r="Q7" s="1" t="n"/>
      <c r="R7" s="1" t="n"/>
    </row>
    <row r="8" ht="16" customHeight="1">
      <c r="A8" s="4" t="n"/>
      <c r="B8" s="4" t="n"/>
      <c r="E8" s="1" t="n"/>
      <c r="F8" s="6" t="inlineStr">
        <is>
          <t>17/09/2026</t>
        </is>
      </c>
      <c r="G8" s="7" t="inlineStr">
        <is>
          <t>QA Tester</t>
        </is>
      </c>
      <c r="H8" s="163" t="n"/>
      <c r="I8" s="2" t="n"/>
      <c r="J8" s="1" t="n"/>
      <c r="K8" s="187" t="n"/>
      <c r="L8" s="10" t="inlineStr">
        <is>
          <t>Bỏ qua (X)</t>
        </is>
      </c>
      <c r="M8" s="11">
        <f>COUNTIF(H13:H25,"X")</f>
        <v/>
      </c>
      <c r="N8" s="11">
        <f>COUNTIF(J13:J28,"X")</f>
        <v/>
      </c>
      <c r="O8" s="1" t="n"/>
      <c r="P8" s="1" t="n"/>
      <c r="Q8" s="1" t="n"/>
      <c r="R8" s="1" t="n"/>
    </row>
    <row r="9" ht="16" customHeight="1">
      <c r="A9" s="4" t="n"/>
      <c r="B9" s="4" t="n"/>
      <c r="E9" s="1" t="n"/>
      <c r="F9" s="6" t="inlineStr">
        <is>
          <t>Ngày cập nhật</t>
        </is>
      </c>
      <c r="G9" s="179" t="n">
        <v>46279.55053263889</v>
      </c>
      <c r="H9" s="163" t="n"/>
      <c r="I9" s="2" t="n"/>
      <c r="J9" s="1" t="n"/>
      <c r="K9" s="188" t="n"/>
      <c r="L9" s="10" t="inlineStr">
        <is>
          <t>Tổng cộng</t>
        </is>
      </c>
      <c r="M9" s="11">
        <f>SUM(K4:K8)</f>
        <v/>
      </c>
      <c r="N9" s="11">
        <f>SUM(K4:K8)</f>
        <v/>
      </c>
      <c r="O9" s="1" t="n"/>
      <c r="P9" s="1" t="n"/>
      <c r="Q9" s="1" t="n"/>
      <c r="R9" s="1" t="n"/>
    </row>
    <row r="10" ht="16" customHeight="1">
      <c r="A10" s="4" t="n"/>
      <c r="B10" s="4" t="n"/>
      <c r="E10" s="4" t="n"/>
      <c r="F10" s="4" t="n"/>
      <c r="G10" s="4" t="n"/>
      <c r="H10" s="4" t="n"/>
      <c r="I10" s="2" t="n"/>
      <c r="J10" s="4" t="n"/>
      <c r="K10" s="4" t="n"/>
      <c r="L10" s="4" t="n"/>
      <c r="M10" s="4" t="n"/>
      <c r="N10" s="4" t="n"/>
      <c r="O10" s="4" t="n"/>
      <c r="P10" s="1" t="n"/>
      <c r="Q10" s="1" t="n"/>
      <c r="R10" s="1" t="n"/>
    </row>
    <row r="11" ht="16" customHeight="1">
      <c r="A11" s="4" t="n"/>
      <c r="B11" s="4" t="n"/>
      <c r="E11" s="4" t="n"/>
      <c r="F11" s="4" t="n"/>
      <c r="G11" s="4" t="n"/>
      <c r="H11" s="4" t="n"/>
      <c r="I11" s="2" t="n"/>
      <c r="J11" s="5" t="inlineStr">
        <is>
          <t>Vòng 1</t>
        </is>
      </c>
      <c r="K11" s="162" t="n"/>
      <c r="L11" s="163" t="n"/>
      <c r="M11" s="5" t="inlineStr">
        <is>
          <t>Vòng 2</t>
        </is>
      </c>
      <c r="N11" s="162" t="n"/>
      <c r="O11" s="163" t="n"/>
      <c r="P11" s="1" t="n"/>
      <c r="Q11" s="1" t="n"/>
      <c r="R11" s="1" t="n"/>
    </row>
    <row r="12" ht="96" customHeight="1">
      <c r="A12" s="16" t="n"/>
      <c r="B12" s="9" t="inlineStr">
        <is>
          <t>STT</t>
        </is>
      </c>
      <c r="C12" s="195" t="inlineStr">
        <is>
          <t>Tai khoan test</t>
        </is>
      </c>
      <c r="D12" s="195" t="inlineStr">
        <is>
          <t>Role / Quyen</t>
        </is>
      </c>
      <c r="E12" s="9" t="inlineStr">
        <is>
          <t>Nội dung kiểm thử (Test Item)</t>
        </is>
      </c>
      <c r="F12" s="17" t="inlineStr">
        <is>
          <t>Điều kiện tiên quyết (Precondition)</t>
        </is>
      </c>
      <c r="G12" s="17" t="inlineStr">
        <is>
          <t>Các bước thực hiện (Test Steps)</t>
        </is>
      </c>
      <c r="H12" s="17" t="inlineStr">
        <is>
          <t>Kết quả mong đợi (Expected Result)</t>
        </is>
      </c>
      <c r="I12" s="9" t="inlineStr">
        <is>
          <t>Kết quả thực tế (Actual Result)</t>
        </is>
      </c>
      <c r="J12" s="9" t="inlineStr">
        <is>
          <t>Trạng thái</t>
        </is>
      </c>
      <c r="K12" s="9" t="inlineStr">
        <is>
          <t>Người test</t>
        </is>
      </c>
      <c r="L12" s="9" t="inlineStr">
        <is>
          <t>Ngày test</t>
        </is>
      </c>
      <c r="M12" s="9" t="inlineStr">
        <is>
          <t>Trạng thái</t>
        </is>
      </c>
      <c r="N12" s="9" t="inlineStr">
        <is>
          <t>Người test</t>
        </is>
      </c>
      <c r="O12" s="9" t="inlineStr">
        <is>
          <t>Ngày test</t>
        </is>
      </c>
      <c r="P12" s="9" t="inlineStr">
        <is>
          <t>Mã lỗi (Bug ID)</t>
        </is>
      </c>
      <c r="Q12" s="9" t="inlineStr">
        <is>
          <t>Ghi chú (Notes)</t>
        </is>
      </c>
      <c r="R12" s="18" t="n"/>
    </row>
    <row r="13" ht="36" customHeight="1">
      <c r="A13" s="16" t="n"/>
      <c r="B13" s="19" t="n">
        <v>1</v>
      </c>
      <c r="C13" s="196" t="inlineStr">
        <is>
          <t>omnichat.kinghub@gmail.com
wsadmin.kinghub@gmail.com</t>
        </is>
      </c>
      <c r="D13" s="197" t="inlineStr">
        <is>
          <t>Agent / WS Admin</t>
        </is>
      </c>
      <c r="E13" s="20" t="inlineStr">
        <is>
          <t>[OM-MSG-001] Gửi tin nhắn: body quá 10000 ký tự / toàn rỗng</t>
        </is>
      </c>
      <c r="F13" s="20" t="inlineStr">
        <is>
          <t>Hộp thư Omnichat, 1 hội thoại</t>
        </is>
      </c>
      <c r="G13" s="20" t="inlineStr">
        <is>
          <t>1. POST /omnichat/conversations/{id}/messages {body: 10001 ký tự, client_id: &lt;uuid&gt;, mode: "reply"}
2. Thử body rỗng và không có attachment/image</t>
        </is>
      </c>
      <c r="H13" s="21" t="inlineStr">
        <is>
          <t>HTTP 422: body max 10000; bắt buộc có ít nhất body HOẶC attachment HOẶC image (required_without_all)</t>
        </is>
      </c>
      <c r="I13" s="21" t="n"/>
      <c r="J13" s="22" t="inlineStr">
        <is>
          <t>N</t>
        </is>
      </c>
      <c r="K13" s="180" t="n"/>
      <c r="L13" s="181" t="n"/>
      <c r="M13" s="19" t="n"/>
      <c r="N13" s="182" t="n"/>
      <c r="O13" s="183" t="n"/>
      <c r="P13" s="27" t="n"/>
      <c r="Q13" s="2" t="n"/>
      <c r="R13" s="2" t="n"/>
    </row>
    <row r="14" ht="36" customHeight="1">
      <c r="A14" s="16" t="n"/>
      <c r="B14" s="19" t="n">
        <v>2</v>
      </c>
      <c r="C14" s="196" t="inlineStr">
        <is>
          <t>omnichat.kinghub@gmail.com
wsadmin.kinghub@gmail.com</t>
        </is>
      </c>
      <c r="D14" s="197" t="inlineStr">
        <is>
          <t>Agent / WS Admin</t>
        </is>
      </c>
      <c r="E14" s="20" t="inlineStr">
        <is>
          <t>[OM-MSG-002] Đính kèm vượt dung lượng theo kênh</t>
        </is>
      </c>
      <c r="F14" s="20" t="inlineStr">
        <is>
          <t>Hội thoại Facebook (25MB) và hội thoại khác (10MB)</t>
        </is>
      </c>
      <c r="G14" s="20" t="inlineStr">
        <is>
          <t>1. Gửi attachment 20MB vào hội thoại Facebook
2. Gửi attachment 20MB vào hội thoại Zalo OA (max 10MB)</t>
        </is>
      </c>
      <c r="H14" s="21" t="inlineStr">
        <is>
          <t>1. Facebook: gửi thành công
2. Kênh khác: 422 vượt 10MB. Image chỉ nhận jpeg/jpg/png/gif</t>
        </is>
      </c>
      <c r="I14" s="21" t="n"/>
      <c r="J14" s="22" t="inlineStr">
        <is>
          <t>N</t>
        </is>
      </c>
      <c r="K14" s="180" t="n"/>
      <c r="L14" s="181" t="n"/>
      <c r="M14" s="19" t="n"/>
      <c r="N14" s="182" t="n"/>
      <c r="O14" s="183" t="n"/>
      <c r="P14" s="27" t="n"/>
      <c r="Q14" s="2" t="n"/>
      <c r="R14" s="2" t="n"/>
    </row>
    <row r="15" ht="36" customHeight="1">
      <c r="A15" s="16" t="n"/>
      <c r="B15" s="19" t="n">
        <v>3</v>
      </c>
      <c r="C15" s="196" t="inlineStr">
        <is>
          <t>omnichat.kinghub@gmail.com
wsadmin.kinghub@gmail.com</t>
        </is>
      </c>
      <c r="D15" s="197" t="inlineStr">
        <is>
          <t>Agent / WS Admin</t>
        </is>
      </c>
      <c r="E15" s="20" t="inlineStr">
        <is>
          <t>[OM-THR-001] Rate limit gửi tin nhắn</t>
        </is>
      </c>
      <c r="F15" s="20" t="inlineStr">
        <is>
          <t>Hộp thư</t>
        </is>
      </c>
      <c r="G15" s="20" t="inlineStr">
        <is>
          <t>1. Gửi 121 tin nhắn trong 60 giây</t>
        </is>
      </c>
      <c r="H15" s="21" t="inlineStr">
        <is>
          <t>HTTP 429 từ tin thứ 121 (throttle:120,1)</t>
        </is>
      </c>
      <c r="I15" s="21" t="n"/>
      <c r="J15" s="22" t="inlineStr">
        <is>
          <t>N</t>
        </is>
      </c>
      <c r="K15" s="180" t="n"/>
      <c r="L15" s="181" t="n"/>
      <c r="M15" s="19" t="n"/>
      <c r="N15" s="182" t="n"/>
      <c r="O15" s="183" t="n"/>
      <c r="P15" s="27" t="n"/>
      <c r="Q15" s="2" t="n"/>
      <c r="R15" s="2" t="n"/>
    </row>
    <row r="16" ht="36" customHeight="1">
      <c r="A16" s="16" t="n"/>
      <c r="B16" s="19" t="n">
        <v>4</v>
      </c>
      <c r="C16" s="196" t="inlineStr">
        <is>
          <t>omnichat.kinghub@gmail.com
wsadmin.kinghub@gmail.com</t>
        </is>
      </c>
      <c r="D16" s="197" t="inlineStr">
        <is>
          <t>Agent / WS Admin</t>
        </is>
      </c>
      <c r="E16" s="20" t="inlineStr">
        <is>
          <t>[OM-DUP-001] Chống trùng tin nhắn khi double-click</t>
        </is>
      </c>
      <c r="F16" s="20" t="inlineStr">
        <is>
          <t>Hộp thư, mạng chậm</t>
        </is>
      </c>
      <c r="G16" s="20" t="inlineStr">
        <is>
          <t>1. Bấm Gửi 2 lần liên tiếp (cùng client_id) do double-click</t>
        </is>
      </c>
      <c r="H16" s="21" t="inlineStr">
        <is>
          <t>Chỉ tạo 1 message (firstOrCreate theo client_id), conversation preview + realtime event chỉ phát 1 lần</t>
        </is>
      </c>
      <c r="I16" s="21" t="n"/>
      <c r="J16" s="22" t="inlineStr">
        <is>
          <t>N</t>
        </is>
      </c>
      <c r="K16" s="180" t="n"/>
      <c r="L16" s="181" t="n"/>
      <c r="M16" s="19" t="n"/>
      <c r="N16" s="182" t="n"/>
      <c r="O16" s="183" t="n"/>
      <c r="P16" s="27" t="n"/>
      <c r="Q16" s="2" t="n"/>
      <c r="R16" s="2" t="n"/>
    </row>
    <row r="17" ht="36" customHeight="1">
      <c r="A17" s="16" t="n"/>
      <c r="B17" s="19" t="n">
        <v>5</v>
      </c>
      <c r="C17" s="196" t="inlineStr">
        <is>
          <t>omnichat.kinghub@gmail.com
wsadmin.kinghub@gmail.com</t>
        </is>
      </c>
      <c r="D17" s="197" t="inlineStr">
        <is>
          <t>Agent / WS Admin</t>
        </is>
      </c>
      <c r="E17" s="20" t="inlineStr">
        <is>
          <t>[OM-RT-001] Realtime nhận tin nhắn mới (Reverb)</t>
        </is>
      </c>
      <c r="F17" s="20" t="inlineStr">
        <is>
          <t>2 trình duyệt mở cùng hội thoại</t>
        </is>
      </c>
      <c r="G17" s="20" t="inlineStr">
        <is>
          <t>1. Trình duyệt A gửi tin
2. Trình duyệt B đang mở hội thoại</t>
        </is>
      </c>
      <c r="H17" s="21" t="inlineStr">
        <is>
          <t>B nhận ngay event omnich.message.created trên private channel omnichat.channel.{id} (không cần F5). Response HTTP 201 cho người gửi</t>
        </is>
      </c>
      <c r="I17" s="21" t="n"/>
      <c r="J17" s="22" t="inlineStr">
        <is>
          <t>N</t>
        </is>
      </c>
      <c r="K17" s="180" t="n"/>
      <c r="L17" s="181" t="n"/>
      <c r="M17" s="19" t="n"/>
      <c r="N17" s="182" t="n"/>
      <c r="O17" s="183" t="n"/>
      <c r="P17" s="27" t="n"/>
      <c r="Q17" s="2" t="n"/>
      <c r="R17" s="2" t="n"/>
    </row>
    <row r="18" ht="36" customHeight="1">
      <c r="A18" s="16" t="n"/>
      <c r="B18" s="19" t="n">
        <v>6</v>
      </c>
      <c r="C18" s="196" t="inlineStr">
        <is>
          <t>omnichat.kinghub@gmail.com
wsadmin.kinghub@gmail.com</t>
        </is>
      </c>
      <c r="D18" s="197" t="inlineStr">
        <is>
          <t>Agent / WS Admin</t>
        </is>
      </c>
      <c r="E18" s="20" t="inlineStr">
        <is>
          <t>[OM-INT-001] Ghi chú nội bộ (internal mode) kèm ảnh</t>
        </is>
      </c>
      <c r="F18" s="20" t="inlineStr">
        <is>
          <t>Hộp thư</t>
        </is>
      </c>
      <c r="G18" s="20" t="inlineStr">
        <is>
          <t>1. POST messages {mode: "internal", image: file, client_id}</t>
        </is>
      </c>
      <c r="H18" s="21" t="inlineStr">
        <is>
          <t>Bị từ chối: internal mode không cho gửi ảnh (chỉ text/attachment nội bộ không đẩy ra kênh)</t>
        </is>
      </c>
      <c r="I18" s="21" t="n"/>
      <c r="J18" s="22" t="inlineStr">
        <is>
          <t>N</t>
        </is>
      </c>
      <c r="K18" s="180" t="n"/>
      <c r="L18" s="181" t="n"/>
      <c r="M18" s="19" t="n"/>
      <c r="N18" s="182" t="n"/>
      <c r="O18" s="183" t="n"/>
      <c r="P18" s="27" t="n"/>
      <c r="Q18" s="2" t="n"/>
      <c r="R18" s="2" t="n"/>
    </row>
    <row r="19" ht="36" customHeight="1">
      <c r="A19" s="16" t="n"/>
      <c r="B19" s="19" t="n">
        <v>7</v>
      </c>
      <c r="C19" s="196" t="inlineStr">
        <is>
          <t>omnichat.kinghub@gmail.com
wsadmin.kinghub@gmail.com</t>
        </is>
      </c>
      <c r="D19" s="197" t="inlineStr">
        <is>
          <t>Agent / WS Admin</t>
        </is>
      </c>
      <c r="E19" s="20" t="inlineStr">
        <is>
          <t>[OM-ASG-001] Phân công CSKH chưa được cấp quyền kênh</t>
        </is>
      </c>
      <c r="F19" s="20" t="inlineStr">
        <is>
          <t>User X chưa có can_view_omnichat trên kênh</t>
        </is>
      </c>
      <c r="G19" s="20" t="inlineStr">
        <is>
          <t>1. PUT /omnichat/conversations/{id}/assignment {user_id: id-X}</t>
        </is>
      </c>
      <c r="H19" s="21" t="inlineStr">
        <is>
          <t>HTTP 422 trên user_id: "Người dùng chưa được cấp quyền Omnichat cho kênh này.". user_id = null → gỡ phân công; user phải cùng account</t>
        </is>
      </c>
      <c r="I19" s="21" t="n"/>
      <c r="J19" s="22" t="inlineStr">
        <is>
          <t>N</t>
        </is>
      </c>
      <c r="K19" s="180" t="n"/>
      <c r="L19" s="181" t="n"/>
      <c r="M19" s="19" t="n"/>
      <c r="N19" s="182" t="n"/>
      <c r="O19" s="183" t="n"/>
      <c r="P19" s="27" t="n"/>
      <c r="Q19" s="2" t="n"/>
      <c r="R19" s="2" t="n"/>
    </row>
    <row r="20" ht="36" customHeight="1">
      <c r="A20" s="16" t="n"/>
      <c r="B20" s="19" t="n">
        <v>8</v>
      </c>
      <c r="C20" s="196" t="inlineStr">
        <is>
          <t>omnichat.kinghub@gmail.com
wsadmin.kinghub@gmail.com</t>
        </is>
      </c>
      <c r="D20" s="197" t="inlineStr">
        <is>
          <t>Agent / WS Admin</t>
        </is>
      </c>
      <c r="E20" s="20" t="inlineStr">
        <is>
          <t>[OM-TAG-001] Tạo tag hội thoại: màu sai / tên trùng / quá 80 ký tự</t>
        </is>
      </c>
      <c r="F20" s="20" t="inlineStr">
        <is>
          <t>Omnichat</t>
        </is>
      </c>
      <c r="G20" s="20" t="inlineStr">
        <is>
          <t>1. POST /omnichat/tags {name: "KhachVIP", color: "#GGGGGG"}
2. Thử color thiếu #; tên đã tồn tại; tên 81 ký tự</t>
        </is>
      </c>
      <c r="H20" s="21" t="inlineStr">
        <is>
          <t>HTTP 422: color phải #RRGGBB; name unique trong workspace, max 80. Hợp lệ → 201 {tag: {...}}</t>
        </is>
      </c>
      <c r="I20" s="21" t="n"/>
      <c r="J20" s="22" t="inlineStr">
        <is>
          <t>N</t>
        </is>
      </c>
      <c r="K20" s="180" t="n"/>
      <c r="L20" s="181" t="n"/>
      <c r="M20" s="19" t="n"/>
      <c r="N20" s="182" t="n"/>
      <c r="O20" s="183" t="n"/>
      <c r="P20" s="27" t="n"/>
      <c r="Q20" s="2" t="n"/>
      <c r="R20" s="2" t="n"/>
    </row>
    <row r="21" ht="36" customHeight="1">
      <c r="A21" s="16" t="n"/>
      <c r="B21" s="19" t="n">
        <v>9</v>
      </c>
      <c r="C21" s="196" t="inlineStr">
        <is>
          <t>omnichat.kinghub@gmail.com
wsadmin.kinghub@gmail.com</t>
        </is>
      </c>
      <c r="D21" s="197" t="inlineStr">
        <is>
          <t>Agent / WS Admin</t>
        </is>
      </c>
      <c r="E21" s="20" t="inlineStr">
        <is>
          <t>[OM-LEAD-001] Cập nhật khách hàng: email sai / stage không hợp lệ</t>
        </is>
      </c>
      <c r="F21" s="20" t="inlineStr">
        <is>
          <t>Danh sách Leads</t>
        </is>
      </c>
      <c r="G21" s="20" t="inlineStr">
        <is>
          <t>1. PATCH /omnichat/leads/{contact} {email: "khong-phai-email"}
2. Thử lead_stage: "xyz"</t>
        </is>
      </c>
      <c r="H21" s="21" t="inlineStr">
        <is>
          <t>HTTP 422: email dạng email max 255; lead_stage chỉ nhận new/qualified/contacted/converted/lost; phone max 32; notes max 5000</t>
        </is>
      </c>
      <c r="I21" s="21" t="n"/>
      <c r="J21" s="22" t="inlineStr">
        <is>
          <t>N</t>
        </is>
      </c>
      <c r="K21" s="180" t="n"/>
      <c r="L21" s="181" t="n"/>
      <c r="M21" s="19" t="n"/>
      <c r="N21" s="182" t="n"/>
      <c r="O21" s="183" t="n"/>
      <c r="P21" s="27" t="n"/>
      <c r="Q21" s="2" t="n"/>
      <c r="R21" s="2" t="n"/>
    </row>
    <row r="22" ht="36" customHeight="1">
      <c r="A22" s="16" t="n"/>
      <c r="B22" s="19" t="n">
        <v>10</v>
      </c>
      <c r="C22" s="196" t="inlineStr">
        <is>
          <t>omnichat.kinghub@gmail.com
wsadmin.kinghub@gmail.com</t>
        </is>
      </c>
      <c r="D22" s="197" t="inlineStr">
        <is>
          <t>Agent / WS Admin</t>
        </is>
      </c>
      <c r="E22" s="20" t="inlineStr">
        <is>
          <t>[AN-FLT-001] Báo cáo bài viết: custom period thiếu from / vượt 366 ngày</t>
        </is>
      </c>
      <c r="F22" s="20" t="inlineStr">
        <is>
          <t>Vào /post-analytics</t>
        </is>
      </c>
      <c r="G22" s="20" t="inlineStr">
        <is>
          <t>1. GET /post-analytics?period=custom (thiếu from/to)
2. Thử from=2026-01-01, to=2027-06-30</t>
        </is>
      </c>
      <c r="H22" s="21" t="inlineStr">
        <is>
          <t>1. 422: from required_if custom, to after_or_equal from
2. 422: "Khoảng thời gian tối đa là 366 ngày." Sort chỉ nhận recent/trending/engagement; platform/account_id/content_type bắt buộc</t>
        </is>
      </c>
      <c r="I22" s="21" t="n"/>
      <c r="J22" s="22" t="inlineStr">
        <is>
          <t>N</t>
        </is>
      </c>
      <c r="K22" s="180" t="n"/>
      <c r="L22" s="181" t="n"/>
      <c r="M22" s="19" t="n"/>
      <c r="N22" s="182" t="n"/>
      <c r="O22" s="183" t="n"/>
      <c r="P22" s="27" t="n"/>
      <c r="Q22" s="2" t="n"/>
      <c r="R22" s="2" t="n"/>
    </row>
    <row r="23" ht="36" customHeight="1">
      <c r="A23" s="16" t="n"/>
      <c r="B23" s="19" t="n">
        <v>11</v>
      </c>
      <c r="C23" s="196" t="inlineStr">
        <is>
          <t>omnichat.kinghub@gmail.com
wsadmin.kinghub@gmail.com</t>
        </is>
      </c>
      <c r="D23" s="197" t="inlineStr">
        <is>
          <t>Agent / WS Admin</t>
        </is>
      </c>
      <c r="E23" s="20" t="inlineStr">
        <is>
          <t>[AN-EXP-001] Xuất CSV báo cáo bài viết</t>
        </is>
      </c>
      <c r="F23" s="20" t="inlineStr">
        <is>
          <t>Có dữ liệu published trong khoảng</t>
        </is>
      </c>
      <c r="G23" s="20" t="inlineStr">
        <is>
          <t>1. GET /post-analytics/export với bộ lọc hợp lệ</t>
        </is>
      </c>
      <c r="H23" s="21" t="inlineStr">
        <is>
          <t>File text/csv tên bao-cao-bai-viet-{Y-m-d}.csv, có UTF-8 BOM (mở Excel không lỗi tiếng Việt), đúng 11 cột: ID Bài Viết, Nội Dung, Page/Nền Tảng, Ngày Đăng, Người Xem, Lượt Xem, Tỷ Lệ Tương Tác (%), Tổng Tương Tác, Lượt Thích, Bình Luận, Chia Sẻ. Giờ định dạng Asia/Ho_Chi_Minh</t>
        </is>
      </c>
      <c r="I23" s="21" t="n"/>
      <c r="J23" s="22" t="inlineStr">
        <is>
          <t>N</t>
        </is>
      </c>
      <c r="K23" s="180" t="n"/>
      <c r="L23" s="181" t="n"/>
      <c r="M23" s="19" t="n"/>
      <c r="N23" s="182" t="n"/>
      <c r="O23" s="183" t="n"/>
      <c r="P23" s="27" t="n"/>
      <c r="Q23" s="2" t="n"/>
      <c r="R23" s="2" t="n"/>
    </row>
    <row r="24" ht="36" customHeight="1">
      <c r="A24" s="16" t="n"/>
      <c r="B24" s="19" t="n">
        <v>12</v>
      </c>
      <c r="C24" s="196" t="inlineStr">
        <is>
          <t>omnichat.kinghub@gmail.com
wsadmin.kinghub@gmail.com</t>
        </is>
      </c>
      <c r="D24" s="197" t="inlineStr">
        <is>
          <t>Agent / WS Admin</t>
        </is>
      </c>
      <c r="E24" s="20" t="inlineStr">
        <is>
          <t>[AN-SEC-001] Xem analytics account của workspace khác</t>
        </is>
      </c>
      <c r="F24" s="20" t="inlineStr">
        <is>
          <t>2 workspace</t>
        </is>
      </c>
      <c r="G24" s="20" t="inlineStr">
        <is>
          <t>1. GET /analytics/{account-cua-workspace-khac}</t>
        </is>
      </c>
      <c r="H24" s="21" t="inlineStr">
        <is>
          <t>HTTP 403. Post của workspace khác → 404</t>
        </is>
      </c>
      <c r="I24" s="21" t="n"/>
      <c r="J24" s="22" t="inlineStr">
        <is>
          <t>N</t>
        </is>
      </c>
      <c r="K24" s="180" t="n"/>
      <c r="L24" s="181" t="n"/>
      <c r="M24" s="19" t="n"/>
      <c r="N24" s="182" t="n"/>
      <c r="O24" s="183" t="n"/>
      <c r="P24" s="27" t="n"/>
      <c r="Q24" s="2" t="n"/>
      <c r="R24" s="2" t="n"/>
    </row>
    <row r="25" ht="36" customHeight="1">
      <c r="A25" s="16" t="n"/>
      <c r="B25" s="19" t="n">
        <v>13</v>
      </c>
      <c r="C25" s="196" t="inlineStr">
        <is>
          <t>omnichat.kinghub@gmail.com
wsadmin.kinghub@gmail.com</t>
        </is>
      </c>
      <c r="D25" s="197" t="inlineStr">
        <is>
          <t>Agent / WS Admin</t>
        </is>
      </c>
      <c r="E25" s="20" t="inlineStr">
        <is>
          <t>[AN-EXP-002] Xuất CSV omnichat analytics</t>
        </is>
      </c>
      <c r="F25" s="20" t="inlineStr">
        <is>
          <t>Có quyền viewAnalytics (owner/admin)</t>
        </is>
      </c>
      <c r="G25" s="20" t="inlineStr">
        <is>
          <t>1. GET /omnichat/analytics/export</t>
        </is>
      </c>
      <c r="H25" s="21" t="inlineStr">
        <is>
          <t>File omnichat-analytics-{Y-m-d}.csv đúng cột: Mã KH, Tên khách hàng, SĐT, Email, Kênh/Page, Trạng thái, Phân loại Lead, Chế độ AI, Tin nhắn cuối, Đánh giá CSAT. Member thường không có quyền viewAnalytics → bị từ chối</t>
        </is>
      </c>
      <c r="I25" s="21" t="n"/>
      <c r="J25" s="22" t="inlineStr">
        <is>
          <t>N</t>
        </is>
      </c>
      <c r="K25" s="180" t="n"/>
      <c r="L25" s="181" t="n"/>
      <c r="M25" s="19" t="n"/>
      <c r="N25" s="182" t="n"/>
      <c r="O25" s="183" t="n"/>
      <c r="P25" s="27" t="n"/>
      <c r="Q25" s="2" t="n"/>
      <c r="R25" s="2" t="n"/>
    </row>
  </sheetData>
  <mergeCells count="9">
    <mergeCell ref="E4:F4"/>
    <mergeCell ref="E6:F6"/>
    <mergeCell ref="E7:F7"/>
    <mergeCell ref="I4:I9"/>
    <mergeCell ref="E5:F5"/>
    <mergeCell ref="E9:F9"/>
    <mergeCell ref="H11:J11"/>
    <mergeCell ref="E8:F8"/>
    <mergeCell ref="K11:M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2026-08-28T03:09:00Z</dcterms:created>
  <dcterms:modified xmlns:dcterms="http://purl.org/dc/terms/" xmlns:xsi="http://www.w3.org/2001/XMLSchema-instance" xsi:type="dcterms:W3CDTF">2026-09-18T07:40:01Z</dcterms:modified>
  <cp:lastModifiedBy>thanh thuyen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1033-12.1.28496.28496</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6565CC4BD6D54969AF45E3E23D7D888F_12</vt:lpwstr>
  </property>
</Properties>
</file>